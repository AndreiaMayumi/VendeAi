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1415A6CA-3EB8-42E2-B1D0-D2A99F6CEB97}" xr6:coauthVersionLast="47" xr6:coauthVersionMax="47" xr10:uidLastSave="{00000000-0000-0000-0000-000000000000}"/>
  <bookViews>
    <workbookView xWindow="-120" yWindow="-120" windowWidth="19800" windowHeight="11760" firstSheet="3" activeTab="6" xr2:uid="{00000000-000D-0000-FFFF-FFFF00000000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7" i="6" l="1"/>
  <c r="K9" i="6"/>
  <c r="B16" i="3"/>
  <c r="B8" i="3"/>
  <c r="L7" i="2"/>
  <c r="F53" i="5"/>
  <c r="M15" i="7" l="1"/>
  <c r="K15" i="7"/>
  <c r="I15" i="7"/>
  <c r="G15" i="7"/>
  <c r="M12" i="7"/>
  <c r="M16" i="7" s="1"/>
  <c r="K12" i="7"/>
  <c r="I12" i="7"/>
  <c r="G12" i="7"/>
  <c r="B10" i="7"/>
  <c r="N23" i="6"/>
  <c r="N24" i="6" s="1"/>
  <c r="K15" i="6"/>
  <c r="K14" i="6"/>
  <c r="K13" i="6"/>
  <c r="K10" i="6"/>
  <c r="F60" i="5"/>
  <c r="F59" i="5"/>
  <c r="F58" i="5"/>
  <c r="F57" i="5"/>
  <c r="F56" i="5"/>
  <c r="F55" i="5"/>
  <c r="F54" i="5"/>
  <c r="F52" i="5"/>
  <c r="F51" i="5"/>
  <c r="F50" i="5"/>
  <c r="I15" i="4"/>
  <c r="E15" i="4"/>
  <c r="J5" i="4"/>
  <c r="J15" i="4" s="1"/>
  <c r="D45" i="2"/>
  <c r="D35" i="2"/>
  <c r="D24" i="2"/>
  <c r="L21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G16" i="7" l="1"/>
  <c r="K16" i="7"/>
  <c r="I16" i="7"/>
  <c r="D46" i="2"/>
  <c r="B4" i="3" s="1"/>
  <c r="B10" i="3" s="1"/>
  <c r="B11" i="3" s="1"/>
  <c r="B9" i="3" s="1"/>
  <c r="K16" i="6"/>
  <c r="N25" i="6" s="1"/>
  <c r="B4" i="7" l="1"/>
  <c r="L6" i="7" s="1"/>
  <c r="L8" i="7" s="1"/>
  <c r="B18" i="3"/>
  <c r="B19" i="3" s="1"/>
  <c r="J6" i="7" l="1"/>
  <c r="J11" i="7" s="1"/>
  <c r="J8" i="7"/>
  <c r="J7" i="7"/>
  <c r="J13" i="7"/>
  <c r="J10" i="7"/>
  <c r="J9" i="7"/>
  <c r="L11" i="7"/>
  <c r="L14" i="7"/>
  <c r="L13" i="7"/>
  <c r="L7" i="7"/>
  <c r="J14" i="7"/>
  <c r="L9" i="7"/>
  <c r="L10" i="7"/>
  <c r="E2" i="4"/>
  <c r="B6" i="7"/>
  <c r="B18" i="7" s="1"/>
  <c r="H6" i="7"/>
  <c r="B21" i="3"/>
  <c r="B22" i="3" s="1"/>
  <c r="L15" i="7" l="1"/>
  <c r="J12" i="7"/>
  <c r="L12" i="7"/>
  <c r="L16" i="7" s="1"/>
  <c r="J15" i="7"/>
  <c r="J16" i="7" s="1"/>
  <c r="B12" i="3"/>
  <c r="H7" i="7"/>
  <c r="H14" i="7"/>
  <c r="H11" i="7"/>
  <c r="H9" i="7"/>
  <c r="H10" i="7"/>
  <c r="H13" i="7"/>
  <c r="H8" i="7"/>
  <c r="B20" i="7"/>
  <c r="B21" i="7" s="1"/>
  <c r="B23" i="7" s="1"/>
  <c r="B24" i="7" s="1"/>
  <c r="B11" i="7"/>
  <c r="F6" i="7"/>
  <c r="H15" i="7" l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B12" i="7"/>
  <c r="B13" i="7"/>
  <c r="H12" i="7"/>
  <c r="H16" i="7" l="1"/>
  <c r="N7" i="7"/>
  <c r="F12" i="7"/>
  <c r="F15" i="7"/>
  <c r="N13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00000000-0006-0000-0000-000001000000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100-000001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0000000-0006-0000-0100-0000020000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00000000-0006-0000-0100-000003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00000000-0006-0000-0100-000004000000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00000000-0006-0000-0100-000005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0000000-0006-0000-0100-000006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00000000-0006-0000-0100-000007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00000000-0006-0000-0100-000008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00000000-0006-0000-0100-000009000000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00000000-0006-0000-0100-00000A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00000000-0006-0000-0100-00000B000000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2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0000000-0006-0000-0200-000002000000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00000000-0006-0000-0200-000003000000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00000000-0006-0000-0400-000001000000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00000000-0006-0000-0400-000002000000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00000000-0006-0000-0400-000003000000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00000000-0006-0000-0400-000004000000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00000000-0006-0000-0400-000005000000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00000000-0006-0000-0400-000006000000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00000000-0006-0000-0400-000007000000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0000000-0006-0000-0400-000008000000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00000000-0006-0000-0400-000009000000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00000000-0006-0000-0500-000001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00000000-0006-0000-0500-000002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00000000-0006-0000-0500-000003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00000000-0006-0000-0500-000004000000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00000000-0006-0000-0500-000005000000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00000000-0006-0000-0500-000006000000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00000000-0006-0000-0500-000007000000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00000000-0006-0000-0500-000008000000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00000000-0006-0000-0500-000009000000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00000000-0006-0000-0500-00000A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00000000-0006-0000-0500-00000B000000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00000000-0006-0000-0500-00000C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00000000-0006-0000-0500-00000D000000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00000000-0006-0000-0500-00000E000000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00000000-0006-0000-0500-00000F00000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00000000-0006-0000-0500-000010000000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00000000-0006-0000-0500-000011000000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00000000-0006-0000-0500-000012000000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00000000-0006-0000-0500-000013000000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00000000-0006-0000-0500-000014000000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00000000-0006-0000-0500-000015000000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00000000-0006-0000-0500-00001600000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00000000-0006-0000-0500-000017000000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00000000-0006-0000-0500-00001800000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00000000-0006-0000-0500-000019000000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00000000-0006-0000-0500-00001A000000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6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<sst xmlns="http://schemas.openxmlformats.org/spreadsheetml/2006/main" count="426" uniqueCount="289">
  <si>
    <t>Equipe</t>
  </si>
  <si>
    <t>VA - VendeAí</t>
  </si>
  <si>
    <t>Papel</t>
  </si>
  <si>
    <t>Nome</t>
  </si>
  <si>
    <t>E-mail</t>
  </si>
  <si>
    <t>Scrum Master</t>
  </si>
  <si>
    <t>Gabrielle Alves</t>
  </si>
  <si>
    <t xml:space="preserve">gabrielle.sousa@aluno.ifsp.edu.br </t>
  </si>
  <si>
    <t>Owner</t>
  </si>
  <si>
    <t>Desenvolvedor</t>
  </si>
  <si>
    <t>Andréia Mayumi</t>
  </si>
  <si>
    <t>andreia.mayumi@aluno.ifsp.edu.br</t>
  </si>
  <si>
    <t>Alice Ruiz Silva</t>
  </si>
  <si>
    <t xml:space="preserve">alice.ruiz@aluno.ifsp.edu.br 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</si>
  <si>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</si>
  <si>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</si>
  <si>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</si>
  <si>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</si>
  <si>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</si>
  <si>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</si>
  <si>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</si>
  <si>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</si>
  <si>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</si>
  <si>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</si>
  <si>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</si>
  <si>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</si>
  <si>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</si>
  <si>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</si>
  <si>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</si>
  <si>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</si>
  <si>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</si>
  <si>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</si>
  <si>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</si>
  <si>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Cadastrar Produtos</t>
  </si>
  <si>
    <t>Criar ambiente do projeto</t>
  </si>
  <si>
    <t>Manter Clientes</t>
  </si>
  <si>
    <t>Definir escopo</t>
  </si>
  <si>
    <t>Manter Pedido</t>
  </si>
  <si>
    <t>Planejar o projeto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</si>
  <si>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</si>
  <si>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</si>
  <si>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</si>
  <si>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</si>
  <si>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</si>
  <si>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</si>
  <si>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</si>
  <si>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</si>
  <si>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</si>
  <si>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</si>
  <si>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</si>
  <si>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</si>
  <si>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</si>
  <si>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</si>
  <si>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</si>
  <si>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</si>
  <si>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</si>
  <si>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</si>
  <si>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</si>
  <si>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</si>
  <si>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</si>
  <si>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</si>
  <si>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</si>
  <si>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</si>
  <si>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</si>
  <si>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</si>
  <si>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</si>
  <si>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</si>
  <si>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</si>
  <si>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</si>
  <si>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</si>
  <si>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</si>
  <si>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</si>
  <si>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</si>
  <si>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</si>
  <si>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</si>
  <si>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</si>
  <si>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</si>
  <si>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</si>
  <si>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</si>
  <si>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</si>
  <si>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</si>
  <si>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</si>
  <si>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</si>
  <si>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</si>
  <si>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</si>
  <si>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</si>
  <si>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</si>
  <si>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</si>
  <si>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</si>
  <si>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</si>
  <si>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</si>
  <si>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</si>
  <si>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</si>
  <si>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</si>
  <si>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</si>
  <si>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</si>
  <si>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</si>
  <si>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Elaboração - Planejamento Sprint, definição de arquitetura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</si>
  <si>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</si>
  <si>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</si>
  <si>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</si>
  <si>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</si>
  <si>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</si>
  <si>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</si>
  <si>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</si>
  <si>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</si>
  <si>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</si>
  <si>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</si>
  <si>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</si>
  <si>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</si>
  <si>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</si>
  <si>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</si>
  <si>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</si>
  <si>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</si>
  <si>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</si>
  <si>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</si>
  <si>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</si>
  <si>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</si>
  <si>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</si>
  <si>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</si>
  <si>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</si>
  <si>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</si>
  <si>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</si>
  <si>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</si>
  <si>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</si>
  <si>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</si>
  <si>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</si>
  <si>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</si>
  <si>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</si>
  <si>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</si>
  <si>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</si>
  <si>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</si>
  <si>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</si>
  <si>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</si>
  <si>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</si>
  <si>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</si>
  <si>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</si>
  <si>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</si>
  <si>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</si>
  <si>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</si>
  <si>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</si>
  <si>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</si>
  <si>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</si>
  <si>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</si>
  <si>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</si>
  <si>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</si>
  <si>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</si>
  <si>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</si>
  <si>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</si>
  <si>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</si>
  <si>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</si>
  <si>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</si>
  <si>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</si>
  <si>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</si>
  <si>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</si>
  <si>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</si>
  <si>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</si>
  <si>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</si>
  <si>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</si>
  <si>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</si>
  <si>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</si>
  <si>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</si>
  <si>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</si>
  <si>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</si>
  <si>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</si>
  <si>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</si>
  <si>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</si>
  <si>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</si>
  <si>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</si>
  <si>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ALI</t>
  </si>
  <si>
    <t>Comunicação de Dados</t>
  </si>
  <si>
    <t>Visualizar estatísticas</t>
  </si>
  <si>
    <t>AIE</t>
  </si>
  <si>
    <t>Processamento de Dados Distribuído</t>
  </si>
  <si>
    <t>Pedidos</t>
  </si>
  <si>
    <t>Cadastrar produtos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</si>
  <si>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</si>
  <si>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</si>
  <si>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</si>
  <si>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</si>
  <si>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</si>
  <si>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</si>
  <si>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</si>
  <si>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</si>
  <si>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Acessar pedidos</t>
  </si>
  <si>
    <t>CE</t>
  </si>
  <si>
    <t>Usabilidade</t>
  </si>
  <si>
    <t>Efetuar login no sistema</t>
  </si>
  <si>
    <t>PFNA - Pontos de Função Não Ajustados:</t>
  </si>
  <si>
    <t>Atualização On-line</t>
  </si>
  <si>
    <t>Cadastrar empresas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</si>
  <si>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</si>
  <si>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</si>
  <si>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</si>
  <si>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</si>
  <si>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</si>
  <si>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</si>
  <si>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</si>
  <si>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</si>
  <si>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</si>
  <si>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</si>
  <si>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</si>
  <si>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</si>
  <si>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</si>
  <si>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</si>
  <si>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</si>
  <si>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</si>
  <si>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</si>
  <si>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</si>
  <si>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</si>
  <si>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</si>
  <si>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</si>
  <si>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</si>
  <si>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</si>
  <si>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</si>
  <si>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</si>
  <si>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</si>
  <si>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</si>
  <si>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</si>
  <si>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</si>
  <si>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</si>
  <si>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</si>
  <si>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</si>
  <si>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</si>
  <si>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</si>
  <si>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</si>
  <si>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</si>
  <si>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</si>
  <si>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</si>
  <si>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Especificar, Analisar e Projetar Cadastrar Produtos</t>
  </si>
  <si>
    <t>Especificar, Analisar e Projetar Manter Pedido</t>
  </si>
  <si>
    <t>Especificar, Analisar e Projetar Manter Clientes</t>
  </si>
  <si>
    <t>Modelar o Cadastrar Produtos</t>
  </si>
  <si>
    <t>Modelar o Manter Clientes</t>
  </si>
  <si>
    <t>Modelar o Manter Pedido</t>
  </si>
  <si>
    <t>Implementar e testar as Histórias de Usuário</t>
  </si>
  <si>
    <t>Modelar, Implementar e Testar a Arquitetura do UC Cadastrar Produtos</t>
  </si>
  <si>
    <t>Modelar, Implementar e Testar a Arquitetura do UC Manter Clientes</t>
  </si>
  <si>
    <t>Modelar, Implementar e Testar a Arquitetura do UC Manter Pedido</t>
  </si>
  <si>
    <t>Em execução</t>
  </si>
  <si>
    <t>Implementar e Testar o Cadastrar Produtos</t>
  </si>
  <si>
    <t>Implementar e Testar o Manter Clientes</t>
  </si>
  <si>
    <t>Implementar e Testar o Manter Pedido</t>
  </si>
  <si>
    <t>Compras</t>
  </si>
  <si>
    <t>Implementar e testar as funcionalidades do sistema</t>
  </si>
  <si>
    <t>Concluir funcionalidades e projetar testes do sistema</t>
  </si>
  <si>
    <t>Executar testes, corrigir defeitos e preparar implantação</t>
  </si>
  <si>
    <t>Preparar ambiente de produção, material de suporte e implantar o produto</t>
  </si>
  <si>
    <t>Validação final, correções finais e aceite do sistema</t>
  </si>
  <si>
    <t>Atraso no desenvolvimento das funcionalidades</t>
  </si>
  <si>
    <t>Indisponibilidade de integrante da equipe</t>
  </si>
  <si>
    <t>Dificuldade técnica com C#/.NET ou tecnologias utilizadas</t>
  </si>
  <si>
    <t>Defeitos identificados durante os testes do sistema</t>
  </si>
  <si>
    <t>Problemas na persistência ou integridade dos dados</t>
  </si>
  <si>
    <t>Conflitos ou perda de código no Git/GitHub</t>
  </si>
  <si>
    <t>Problemas de integração entre os módulos do sistema</t>
  </si>
  <si>
    <t>Mudança ou inclusão de requisitos durante o desenvolvimento</t>
  </si>
  <si>
    <t>Reduzir atividades não essenciais e manter o escopo definido</t>
  </si>
  <si>
    <t>Validar e congelar os requisitos essenciais após aprovação da equipe</t>
  </si>
  <si>
    <t>Padronizar interfaces e regras de comunicação entre os módulos</t>
  </si>
  <si>
    <t>Definir fluxo de versionamento e regras para utilização do repositório</t>
  </si>
  <si>
    <t>Definir corretamente a estrutura e as regras de persistência dos dados</t>
  </si>
  <si>
    <t>Realizar validações durante o desenvolvimento para evitar defeitos conhecidos</t>
  </si>
  <si>
    <t>Estudar antecipadamente as tecnologias necessárias para as funcionalidades planejadas</t>
  </si>
  <si>
    <t>Compartilhar conhecimento e evitar que uma atividade dependa exclusivamente de uma integrante</t>
  </si>
  <si>
    <t>Acompanhar o progresso a cada Sprint, priorizar funcionalidades essenciais e distribuir as tarefas entre a equipe</t>
  </si>
  <si>
    <t>Avaliar o impacto de qualquer solicitação de mudança antes de incluí-la no projeto</t>
  </si>
  <si>
    <t>Integrar e testar os módulos gradualmente durante o desenvolvimento</t>
  </si>
  <si>
    <t>Isolar o módulo com problema, corrigir a integração e executar novamente os testes</t>
  </si>
  <si>
    <t>Utilizar branches, realizar commits frequentes e atualizar a branch antes de alterações</t>
  </si>
  <si>
    <t>Testar operações de cadastro, alteração, consulta e integridade dos dados</t>
  </si>
  <si>
    <t>Executar testes continuamente e registrar os defeitos encontrados</t>
  </si>
  <si>
    <t>Consultar documentação, realizar testes técnicos e compartilhar conhecimento entre a equipe</t>
  </si>
  <si>
    <t>Manter código, documentação e andamento das tarefas acessíveis a toda a equipe</t>
  </si>
  <si>
    <t>Replanejar as atividades, redistribuir tarefas e priorizar funcionalidades indispensáveis para a entrega</t>
  </si>
  <si>
    <t>Adiar requisitos não essenciais e implementar somente mudanças necessárias para a entrega</t>
  </si>
  <si>
    <t>Recuperar versões pelo histórico do Git/GitHub, resolver conflitos e restaurar a última versão estável</t>
  </si>
  <si>
    <t>Corrigir estrutura, consultas ou regras de persistência e restaurar os dados quando necessário</t>
  </si>
  <si>
    <t>Priorizar defeitos críticos, realizar as correções e executar testes de regressão</t>
  </si>
  <si>
    <t>Buscar apoio do professor/documentação e adotar uma solução tecnicamente mais simples</t>
  </si>
  <si>
    <t>Redistribuir as tarefas da integrante indisponível e replanejar atividades de menor prioridade</t>
  </si>
  <si>
    <t>Usuários</t>
  </si>
  <si>
    <t>Empresas</t>
  </si>
  <si>
    <t>Manter Usuários</t>
  </si>
  <si>
    <t>Configurar permissões de usuários</t>
  </si>
  <si>
    <t>Registrar/Manter compras</t>
  </si>
  <si>
    <t>Realizar separação de pedidos</t>
  </si>
  <si>
    <t>Clientes</t>
  </si>
  <si>
    <t>Manter pedidos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</si>
</sst>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4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10"/>
      <name val="Calibri"/>
    </font>
    <font>
      <sz val="8"/>
      <name val="Arial"/>
    </font>
    <font>
      <sz val="9"/>
      <color rgb="FF000000"/>
      <name val="Arial"/>
    </font>
    <font>
      <sz val="10"/>
      <name val="Calibri"/>
      <family val="2"/>
    </font>
    <font>
      <b/>
      <sz val="10"/>
      <name val="Calibri"/>
      <family val="2"/>
    </font>
    <font>
      <sz val="9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</cellStyleXfs>
  <cellXfs count="183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64" fontId="22" fillId="6" borderId="1" xfId="10" applyFont="1" applyFill="1" applyBorder="1" applyAlignment="1" applyProtection="1">
      <alignment horizontal="center"/>
      <protection locked="0"/>
    </xf>
    <xf numFmtId="164" fontId="22" fillId="0" borderId="8" xfId="10" applyFont="1" applyBorder="1" applyAlignment="1" applyProtection="1">
      <alignment horizontal="left"/>
    </xf>
    <xf numFmtId="164" fontId="22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2" fillId="0" borderId="8" xfId="10" applyNumberFormat="1" applyFont="1" applyBorder="1" applyProtection="1"/>
    <xf numFmtId="164" fontId="22" fillId="0" borderId="0" xfId="10" applyFont="1" applyProtection="1"/>
    <xf numFmtId="170" fontId="22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8" fillId="12" borderId="0" xfId="10" applyFont="1" applyFill="1" applyAlignment="1" applyProtection="1">
      <alignment wrapText="1"/>
    </xf>
    <xf numFmtId="164" fontId="29" fillId="13" borderId="1" xfId="10" applyFont="1" applyFill="1" applyBorder="1" applyAlignment="1" applyProtection="1">
      <alignment wrapText="1"/>
    </xf>
    <xf numFmtId="164" fontId="28" fillId="12" borderId="1" xfId="10" applyFont="1" applyFill="1" applyBorder="1" applyAlignment="1" applyProtection="1">
      <alignment wrapText="1"/>
    </xf>
    <xf numFmtId="164" fontId="28" fillId="12" borderId="0" xfId="10" applyFont="1" applyFill="1" applyAlignment="1" applyProtection="1">
      <alignment horizontal="left" wrapText="1"/>
    </xf>
    <xf numFmtId="164" fontId="28" fillId="12" borderId="1" xfId="10" applyFont="1" applyFill="1" applyBorder="1" applyAlignment="1" applyProtection="1">
      <alignment horizontal="left" wrapText="1"/>
    </xf>
    <xf numFmtId="164" fontId="28" fillId="12" borderId="6" xfId="10" applyFont="1" applyFill="1" applyBorder="1" applyAlignment="1" applyProtection="1">
      <alignment wrapText="1"/>
    </xf>
    <xf numFmtId="164" fontId="29" fillId="13" borderId="6" xfId="10" applyFont="1" applyFill="1" applyBorder="1" applyAlignment="1" applyProtection="1">
      <alignment vertical="center" wrapText="1"/>
    </xf>
    <xf numFmtId="164" fontId="29" fillId="13" borderId="9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horizontal="center" vertic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164" fontId="28" fillId="12" borderId="0" xfId="10" applyFont="1" applyFill="1" applyAlignment="1" applyProtection="1">
      <alignment vertical="top" wrapText="1"/>
    </xf>
    <xf numFmtId="165" fontId="28" fillId="3" borderId="1" xfId="10" applyNumberFormat="1" applyFont="1" applyFill="1" applyBorder="1" applyAlignment="1" applyProtection="1">
      <alignment horizontal="center" vertical="center" wrapText="1"/>
    </xf>
    <xf numFmtId="165" fontId="28" fillId="3" borderId="1" xfId="10" applyNumberFormat="1" applyFont="1" applyFill="1" applyBorder="1" applyAlignment="1" applyProtection="1">
      <alignment horizontal="left" vertical="center" wrapText="1"/>
    </xf>
    <xf numFmtId="166" fontId="28" fillId="14" borderId="1" xfId="10" applyNumberFormat="1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vertical="top" wrapText="1"/>
    </xf>
    <xf numFmtId="164" fontId="28" fillId="14" borderId="4" xfId="10" applyFont="1" applyFill="1" applyBorder="1" applyAlignment="1" applyProtection="1">
      <alignment vertical="top" wrapText="1"/>
    </xf>
    <xf numFmtId="164" fontId="28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2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4" fillId="5" borderId="1" xfId="10" applyFont="1" applyFill="1" applyBorder="1" applyAlignment="1" applyProtection="1">
      <alignment horizontal="right" vertical="center" wrapText="1"/>
    </xf>
    <xf numFmtId="165" fontId="31" fillId="5" borderId="1" xfId="10" applyNumberFormat="1" applyFont="1" applyFill="1" applyBorder="1" applyAlignment="1" applyProtection="1">
      <alignment horizontal="center" vertical="center"/>
    </xf>
    <xf numFmtId="164" fontId="33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7" fillId="6" borderId="1" xfId="10" applyFont="1" applyFill="1" applyBorder="1" applyProtection="1"/>
    <xf numFmtId="164" fontId="33" fillId="6" borderId="1" xfId="10" applyFont="1" applyFill="1" applyBorder="1" applyAlignment="1" applyProtection="1">
      <alignment horizontal="left"/>
    </xf>
    <xf numFmtId="165" fontId="27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3" fillId="6" borderId="1" xfId="10" applyNumberFormat="1" applyFont="1" applyFill="1" applyBorder="1" applyAlignment="1" applyProtection="1">
      <alignment horizontal="center"/>
    </xf>
    <xf numFmtId="164" fontId="27" fillId="16" borderId="1" xfId="10" applyFont="1" applyFill="1" applyBorder="1" applyProtection="1"/>
    <xf numFmtId="165" fontId="27" fillId="16" borderId="1" xfId="10" applyNumberFormat="1" applyFont="1" applyFill="1" applyBorder="1" applyAlignment="1" applyProtection="1">
      <alignment horizontal="center"/>
    </xf>
    <xf numFmtId="167" fontId="27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6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7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7" fillId="3" borderId="1" xfId="16" applyNumberFormat="1" applyFill="1" applyBorder="1" applyAlignment="1" applyProtection="1">
      <protection locked="0"/>
    </xf>
    <xf numFmtId="164" fontId="37" fillId="3" borderId="1" xfId="17" applyNumberFormat="1" applyFill="1" applyBorder="1" applyProtection="1">
      <protection locked="0"/>
    </xf>
    <xf numFmtId="0" fontId="28" fillId="17" borderId="0" xfId="0" applyFont="1" applyFill="1"/>
    <xf numFmtId="164" fontId="29" fillId="12" borderId="9" xfId="10" applyFont="1" applyFill="1" applyBorder="1" applyAlignment="1" applyProtection="1">
      <alignment horizontal="center" vertical="center" wrapText="1"/>
    </xf>
    <xf numFmtId="164" fontId="28" fillId="14" borderId="6" xfId="10" applyFont="1" applyFill="1" applyBorder="1" applyAlignment="1" applyProtection="1">
      <alignment horizontal="center" vertical="center" wrapText="1"/>
    </xf>
    <xf numFmtId="164" fontId="28" fillId="14" borderId="11" xfId="10" applyFont="1" applyFill="1" applyBorder="1" applyAlignment="1" applyProtection="1">
      <alignment horizontal="center" vertical="center" wrapText="1"/>
    </xf>
    <xf numFmtId="165" fontId="28" fillId="3" borderId="4" xfId="10" applyNumberFormat="1" applyFont="1" applyFill="1" applyBorder="1" applyAlignment="1" applyProtection="1">
      <alignment horizontal="center" vertical="center" wrapText="1"/>
    </xf>
    <xf numFmtId="165" fontId="28" fillId="3" borderId="11" xfId="10" applyNumberFormat="1" applyFont="1" applyFill="1" applyBorder="1" applyAlignment="1" applyProtection="1">
      <alignment horizontal="left" vertical="center" wrapText="1"/>
    </xf>
    <xf numFmtId="0" fontId="39" fillId="17" borderId="1" xfId="0" applyFont="1" applyFill="1" applyBorder="1" applyAlignment="1">
      <alignment wrapText="1"/>
    </xf>
    <xf numFmtId="165" fontId="28" fillId="3" borderId="5" xfId="10" applyNumberFormat="1" applyFont="1" applyFill="1" applyBorder="1" applyAlignment="1" applyProtection="1">
      <alignment horizontal="left" vertical="center" wrapText="1"/>
    </xf>
    <xf numFmtId="0" fontId="38" fillId="18" borderId="1" xfId="0" applyFont="1" applyFill="1" applyBorder="1" applyAlignment="1">
      <alignment horizontal="center" vertical="center"/>
    </xf>
    <xf numFmtId="0" fontId="39" fillId="17" borderId="1" xfId="0" applyFont="1" applyFill="1" applyBorder="1" applyAlignment="1">
      <alignment vertical="center" wrapText="1"/>
    </xf>
    <xf numFmtId="164" fontId="40" fillId="17" borderId="0" xfId="10" applyFont="1" applyFill="1" applyAlignment="1" applyProtection="1">
      <alignment horizontal="center"/>
    </xf>
    <xf numFmtId="164" fontId="22" fillId="0" borderId="0" xfId="10" applyFont="1" applyBorder="1" applyProtection="1"/>
    <xf numFmtId="164" fontId="22" fillId="6" borderId="4" xfId="10" applyFont="1" applyFill="1" applyBorder="1" applyAlignment="1" applyProtection="1">
      <alignment horizontal="center"/>
      <protection locked="0"/>
    </xf>
    <xf numFmtId="164" fontId="41" fillId="3" borderId="1" xfId="10" applyFont="1" applyFill="1" applyBorder="1" applyAlignment="1" applyProtection="1">
      <alignment horizontal="left" wrapText="1"/>
      <protection locked="0"/>
    </xf>
    <xf numFmtId="169" fontId="41" fillId="9" borderId="1" xfId="10" applyNumberFormat="1" applyFont="1" applyFill="1" applyBorder="1" applyAlignment="1" applyProtection="1">
      <alignment horizontal="center"/>
      <protection locked="0"/>
    </xf>
    <xf numFmtId="170" fontId="41" fillId="9" borderId="1" xfId="8" applyNumberFormat="1" applyFont="1" applyFill="1" applyBorder="1" applyAlignment="1" applyProtection="1">
      <alignment horizontal="center" vertical="center"/>
      <protection locked="0"/>
    </xf>
    <xf numFmtId="164" fontId="42" fillId="3" borderId="1" xfId="10" applyFont="1" applyFill="1" applyBorder="1" applyProtection="1">
      <protection locked="0"/>
    </xf>
    <xf numFmtId="170" fontId="41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center"/>
      <protection locked="0"/>
    </xf>
    <xf numFmtId="171" fontId="41" fillId="9" borderId="1" xfId="8" applyNumberFormat="1" applyFont="1" applyFill="1" applyBorder="1" applyAlignment="1" applyProtection="1">
      <alignment horizontal="center" vertical="center"/>
      <protection locked="0"/>
    </xf>
    <xf numFmtId="171" fontId="41" fillId="11" borderId="1" xfId="8" applyNumberFormat="1" applyFont="1" applyFill="1" applyBorder="1" applyAlignment="1" applyProtection="1">
      <alignment horizontal="center" vertical="center"/>
      <protection locked="0"/>
    </xf>
    <xf numFmtId="0" fontId="43" fillId="17" borderId="7" xfId="0" applyFont="1" applyFill="1" applyBorder="1"/>
    <xf numFmtId="164" fontId="43" fillId="17" borderId="0" xfId="10" applyFont="1" applyFill="1" applyBorder="1" applyProtection="1"/>
    <xf numFmtId="164" fontId="41" fillId="3" borderId="6" xfId="10" applyFont="1" applyFill="1" applyBorder="1" applyAlignment="1" applyProtection="1">
      <alignment horizontal="left" wrapText="1"/>
      <protection locked="0"/>
    </xf>
    <xf numFmtId="169" fontId="41" fillId="9" borderId="9" xfId="10" applyNumberFormat="1" applyFont="1" applyFill="1" applyBorder="1" applyAlignment="1" applyProtection="1">
      <alignment horizontal="center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5" fillId="5" borderId="3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28" fillId="14" borderId="4" xfId="10" applyFont="1" applyFill="1" applyBorder="1" applyAlignment="1" applyProtection="1">
      <alignment horizontal="left" vertical="top" wrapText="1"/>
    </xf>
    <xf numFmtId="164" fontId="28" fillId="14" borderId="9" xfId="10" applyFont="1" applyFill="1" applyBorder="1" applyAlignment="1" applyProtection="1">
      <alignment horizontal="left" vertical="top" wrapText="1"/>
    </xf>
    <xf numFmtId="164" fontId="28" fillId="14" borderId="4" xfId="10" applyFont="1" applyFill="1" applyBorder="1" applyAlignment="1" applyProtection="1">
      <alignment horizontal="center" vertical="top" wrapText="1"/>
    </xf>
    <xf numFmtId="164" fontId="28" fillId="14" borderId="9" xfId="10" applyFont="1" applyFill="1" applyBorder="1" applyAlignment="1" applyProtection="1">
      <alignment horizontal="center" vertical="top" wrapText="1"/>
    </xf>
    <xf numFmtId="164" fontId="28" fillId="12" borderId="1" xfId="10" applyFont="1" applyFill="1" applyBorder="1" applyAlignment="1" applyProtection="1">
      <alignment horizontal="center" wrapText="1"/>
    </xf>
    <xf numFmtId="164" fontId="29" fillId="13" borderId="1" xfId="10" applyFont="1" applyFill="1" applyBorder="1" applyAlignment="1" applyProtection="1">
      <alignment horizont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28" fillId="3" borderId="1" xfId="10" applyFont="1" applyFill="1" applyBorder="1" applyAlignment="1" applyProtection="1">
      <alignment horizontal="center" wrapText="1"/>
    </xf>
    <xf numFmtId="164" fontId="28" fillId="14" borderId="1" xfId="10" applyFont="1" applyFill="1" applyBorder="1" applyAlignment="1" applyProtection="1">
      <alignment horizontal="center" wrapText="1"/>
    </xf>
    <xf numFmtId="0" fontId="0" fillId="14" borderId="4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164" fontId="30" fillId="5" borderId="3" xfId="10" applyFont="1" applyFill="1" applyBorder="1" applyAlignment="1" applyProtection="1">
      <alignment horizontal="center"/>
    </xf>
    <xf numFmtId="164" fontId="29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29" fillId="15" borderId="1" xfId="10" applyFont="1" applyFill="1" applyBorder="1" applyAlignment="1" applyProtection="1">
      <alignment horizontal="center" vertical="center" wrapText="1"/>
    </xf>
    <xf numFmtId="164" fontId="29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1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7" fillId="6" borderId="1" xfId="10" applyFont="1" applyFill="1" applyBorder="1" applyAlignment="1" applyProtection="1">
      <alignment horizontal="center"/>
    </xf>
    <xf numFmtId="164" fontId="35" fillId="5" borderId="7" xfId="10" applyFont="1" applyFill="1" applyBorder="1" applyAlignment="1" applyProtection="1">
      <alignment horizontal="center"/>
    </xf>
    <xf numFmtId="164" fontId="27" fillId="6" borderId="1" xfId="10" applyFont="1" applyFill="1" applyBorder="1" applyAlignment="1" applyProtection="1">
      <alignment horizontal="center" vertical="center"/>
    </xf>
    <xf numFmtId="164" fontId="14" fillId="17" borderId="0" xfId="10" applyFont="1" applyFill="1" applyAlignment="1" applyProtection="1">
      <alignment horizontal="center"/>
    </xf>
  </cellXfs>
  <cellStyles count="1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ditionalStyle_1" xfId="7" xr:uid="{00000000-0005-0000-0000-000006000000}"/>
    <cellStyle name="Excel Built-in Comma" xfId="8" xr:uid="{00000000-0005-0000-0000-000007000000}"/>
    <cellStyle name="Excel Built-in Currency" xfId="9" xr:uid="{00000000-0005-0000-0000-000008000000}"/>
    <cellStyle name="Excel Built-in Normal" xfId="10" xr:uid="{00000000-0005-0000-0000-000009000000}"/>
    <cellStyle name="Excel Built-in Percent" xfId="11" xr:uid="{00000000-0005-0000-0000-00000A000000}"/>
    <cellStyle name="Heading" xfId="12" xr:uid="{00000000-0005-0000-0000-00000B000000}"/>
    <cellStyle name="Heading1" xfId="13" xr:uid="{00000000-0005-0000-0000-00000C000000}"/>
    <cellStyle name="Hiperlink" xfId="16" builtinId="8"/>
    <cellStyle name="Hyperlink" xfId="17" xr:uid="{00000000-000B-0000-0000-000008000000}"/>
    <cellStyle name="Normal" xfId="0" builtinId="0" customBuiltin="1"/>
    <cellStyle name="Result" xfId="14" xr:uid="{00000000-0005-0000-0000-00000F000000}"/>
    <cellStyle name="Result2" xfId="15" xr:uid="{00000000-0005-0000-0000-000010000000}"/>
  </cellStyles>
  <dxfs count="2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</font>
    </dxf>
    <dxf>
      <font>
        <color rgb="FF666699"/>
      </font>
    </dxf>
    <dxf>
      <font>
        <color rgb="FFFFFFFF"/>
      </font>
    </dxf>
    <dxf>
      <font>
        <b/>
      </font>
    </dxf>
    <dxf>
      <font>
        <color rgb="FF666699"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b/>
      </font>
    </dxf>
    <dxf>
      <font>
        <color rgb="FF66669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21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abrielle.sousa@aluno.ifsp.edu.br" TargetMode="External"/><Relationship Id="rId2" Type="http://schemas.openxmlformats.org/officeDocument/2006/relationships/hyperlink" Target="mailto:alice.ruiz@aluno.ifsp.edu.br" TargetMode="External"/><Relationship Id="rId1" Type="http://schemas.openxmlformats.org/officeDocument/2006/relationships/hyperlink" Target="mailto:andreia.mayumi@aluno.ifsp.edu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gabrielle.sousa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"/>
  <sheetViews>
    <sheetView workbookViewId="0">
      <selection activeCell="A2" sqref="A2:C2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41" t="s">
        <v>0</v>
      </c>
      <c r="B1" s="141"/>
      <c r="C1" s="141"/>
    </row>
    <row r="2" spans="1:3" ht="25.5" x14ac:dyDescent="0.25">
      <c r="A2" s="142" t="s">
        <v>1</v>
      </c>
      <c r="B2" s="142"/>
      <c r="C2" s="142"/>
    </row>
    <row r="3" spans="1:3" x14ac:dyDescent="0.25">
      <c r="A3" s="2" t="s">
        <v>2</v>
      </c>
      <c r="B3" s="2" t="s">
        <v>3</v>
      </c>
      <c r="C3" s="2" t="s">
        <v>4</v>
      </c>
    </row>
    <row r="4" spans="1:3" x14ac:dyDescent="0.25">
      <c r="A4" s="3" t="s">
        <v>5</v>
      </c>
      <c r="B4" s="3" t="s">
        <v>6</v>
      </c>
      <c r="C4" s="115" t="s">
        <v>7</v>
      </c>
    </row>
    <row r="5" spans="1:3" x14ac:dyDescent="0.25">
      <c r="A5" s="3" t="s">
        <v>8</v>
      </c>
      <c r="B5" s="3" t="s">
        <v>6</v>
      </c>
      <c r="C5" s="115" t="s">
        <v>7</v>
      </c>
    </row>
    <row r="6" spans="1:3" x14ac:dyDescent="0.25">
      <c r="A6" s="3" t="s">
        <v>9</v>
      </c>
      <c r="B6" s="3" t="s">
        <v>10</v>
      </c>
      <c r="C6" s="114" t="s">
        <v>11</v>
      </c>
    </row>
    <row r="7" spans="1:3" x14ac:dyDescent="0.25">
      <c r="A7" s="3" t="s">
        <v>9</v>
      </c>
      <c r="B7" s="3" t="s">
        <v>12</v>
      </c>
      <c r="C7" s="115" t="s">
        <v>13</v>
      </c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6" r:id="rId1" xr:uid="{00000000-0004-0000-0000-000000000000}"/>
    <hyperlink ref="C7" r:id="rId2" xr:uid="{4875F34F-6E1D-4776-B509-FCF577E83BE4}"/>
    <hyperlink ref="C4" r:id="rId3" xr:uid="{A1225F96-B868-483E-93F7-633131CFD5A7}"/>
    <hyperlink ref="C5" r:id="rId4" xr:uid="{B23FDA07-A763-4C9D-BA07-57F038DD8504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6"/>
  <sheetViews>
    <sheetView topLeftCell="A25" workbookViewId="0">
      <selection activeCell="D46" sqref="D46"/>
    </sheetView>
  </sheetViews>
  <sheetFormatPr defaultRowHeight="15" x14ac:dyDescent="0.2"/>
  <cols>
    <col min="1" max="1" width="10.25" style="21" customWidth="1"/>
    <col min="2" max="2" width="11.625" style="4" customWidth="1"/>
    <col min="3" max="3" width="64.25" style="4" customWidth="1"/>
    <col min="4" max="4" width="8.75" style="19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49" t="s">
        <v>14</v>
      </c>
      <c r="B1" s="149"/>
      <c r="C1" s="149"/>
      <c r="D1" s="149"/>
      <c r="F1" s="143" t="s">
        <v>15</v>
      </c>
      <c r="G1" s="143"/>
      <c r="H1" s="143"/>
      <c r="I1" s="143"/>
      <c r="J1" s="143"/>
      <c r="K1" s="143"/>
      <c r="L1" s="143"/>
    </row>
    <row r="2" spans="1:12" ht="42" customHeight="1" x14ac:dyDescent="0.2">
      <c r="A2" s="144" t="s">
        <v>16</v>
      </c>
      <c r="B2" s="144"/>
      <c r="C2" s="144"/>
      <c r="D2" s="144"/>
      <c r="F2" s="145" t="s">
        <v>17</v>
      </c>
      <c r="G2" s="145"/>
      <c r="H2" s="145"/>
      <c r="I2" s="145"/>
      <c r="J2" s="145"/>
      <c r="K2" s="145"/>
      <c r="L2" s="145"/>
    </row>
    <row r="3" spans="1:12" ht="24" customHeight="1" x14ac:dyDescent="0.2">
      <c r="A3" s="5" t="s">
        <v>18</v>
      </c>
      <c r="B3" s="5" t="s">
        <v>19</v>
      </c>
      <c r="C3" s="5" t="s">
        <v>20</v>
      </c>
      <c r="D3" s="5" t="s">
        <v>21</v>
      </c>
      <c r="F3" s="5" t="s">
        <v>18</v>
      </c>
      <c r="G3" s="6" t="s">
        <v>22</v>
      </c>
      <c r="H3" s="146" t="s">
        <v>15</v>
      </c>
      <c r="I3" s="146"/>
      <c r="J3" s="146"/>
      <c r="K3" s="146"/>
      <c r="L3" s="146"/>
    </row>
    <row r="4" spans="1:12" ht="24" customHeight="1" x14ac:dyDescent="0.2">
      <c r="A4" s="147" t="s">
        <v>23</v>
      </c>
      <c r="B4" s="147"/>
      <c r="C4" s="147"/>
      <c r="D4" s="8" t="s">
        <v>24</v>
      </c>
      <c r="F4" s="9" t="s">
        <v>25</v>
      </c>
      <c r="G4" s="9" t="s">
        <v>26</v>
      </c>
      <c r="H4" s="8" t="s">
        <v>27</v>
      </c>
      <c r="I4" s="8" t="s">
        <v>28</v>
      </c>
      <c r="J4" s="8" t="s">
        <v>29</v>
      </c>
      <c r="K4" s="7" t="s">
        <v>30</v>
      </c>
      <c r="L4" s="8" t="s">
        <v>31</v>
      </c>
    </row>
    <row r="5" spans="1:12" ht="14.25" x14ac:dyDescent="0.2">
      <c r="A5" s="10">
        <v>1</v>
      </c>
      <c r="B5" s="11" t="s">
        <v>23</v>
      </c>
      <c r="C5" s="12" t="s">
        <v>32</v>
      </c>
      <c r="D5" s="13">
        <v>18</v>
      </c>
      <c r="F5" s="14">
        <v>1</v>
      </c>
      <c r="G5" s="12" t="s">
        <v>33</v>
      </c>
      <c r="H5" s="15">
        <v>5</v>
      </c>
      <c r="I5" s="15">
        <v>0</v>
      </c>
      <c r="J5" s="15">
        <v>0</v>
      </c>
      <c r="K5" s="15">
        <v>3</v>
      </c>
      <c r="L5" s="16">
        <f>SUM(H5:K5)</f>
        <v>8</v>
      </c>
    </row>
    <row r="6" spans="1:12" ht="14.25" x14ac:dyDescent="0.2">
      <c r="A6" s="10">
        <v>2</v>
      </c>
      <c r="B6" s="11" t="s">
        <v>23</v>
      </c>
      <c r="C6" s="12" t="s">
        <v>34</v>
      </c>
      <c r="D6" s="13">
        <v>20</v>
      </c>
      <c r="F6" s="14">
        <v>2</v>
      </c>
      <c r="G6" s="12" t="s">
        <v>35</v>
      </c>
      <c r="H6" s="15">
        <v>5</v>
      </c>
      <c r="I6" s="15">
        <v>0</v>
      </c>
      <c r="J6" s="15">
        <v>5</v>
      </c>
      <c r="K6" s="15">
        <v>5</v>
      </c>
      <c r="L6" s="16">
        <f>SUM(H6:K6)</f>
        <v>15</v>
      </c>
    </row>
    <row r="7" spans="1:12" ht="14.25" x14ac:dyDescent="0.2">
      <c r="A7" s="10">
        <v>3</v>
      </c>
      <c r="B7" s="11" t="s">
        <v>23</v>
      </c>
      <c r="C7" s="12" t="s">
        <v>36</v>
      </c>
      <c r="D7" s="13">
        <v>20</v>
      </c>
      <c r="F7" s="14">
        <v>3</v>
      </c>
      <c r="G7" s="12" t="s">
        <v>37</v>
      </c>
      <c r="H7" s="15">
        <v>5</v>
      </c>
      <c r="I7" s="15">
        <v>0</v>
      </c>
      <c r="J7" s="15">
        <v>10</v>
      </c>
      <c r="K7" s="15">
        <v>6</v>
      </c>
      <c r="L7" s="16">
        <f>SUM(H7:K7)</f>
        <v>21</v>
      </c>
    </row>
    <row r="8" spans="1:12" ht="14.25" x14ac:dyDescent="0.2">
      <c r="A8" s="10">
        <v>4</v>
      </c>
      <c r="B8" s="11" t="s">
        <v>23</v>
      </c>
      <c r="C8" s="12" t="s">
        <v>38</v>
      </c>
      <c r="D8" s="13">
        <v>20</v>
      </c>
      <c r="F8" s="14"/>
      <c r="G8" s="12"/>
      <c r="H8" s="15"/>
      <c r="I8" s="15"/>
      <c r="J8" s="15"/>
      <c r="K8" s="15"/>
      <c r="L8" s="16">
        <f t="shared" ref="L8:L21" si="0">SUM(H8:K8)</f>
        <v>0</v>
      </c>
    </row>
    <row r="9" spans="1:12" ht="14.25" x14ac:dyDescent="0.2">
      <c r="A9" s="10">
        <v>5</v>
      </c>
      <c r="B9" s="11" t="s">
        <v>23</v>
      </c>
      <c r="C9" s="18" t="s">
        <v>46</v>
      </c>
      <c r="D9" s="13">
        <v>12</v>
      </c>
      <c r="F9" s="17"/>
      <c r="G9" s="12"/>
      <c r="H9" s="15"/>
      <c r="I9" s="15"/>
      <c r="J9" s="15"/>
      <c r="K9" s="15"/>
      <c r="L9" s="16">
        <f t="shared" si="0"/>
        <v>0</v>
      </c>
    </row>
    <row r="10" spans="1:12" ht="14.25" x14ac:dyDescent="0.2">
      <c r="A10" s="10">
        <v>6</v>
      </c>
      <c r="B10" s="11" t="s">
        <v>23</v>
      </c>
      <c r="C10" s="12" t="s">
        <v>39</v>
      </c>
      <c r="D10" s="13">
        <v>10</v>
      </c>
      <c r="F10" s="14"/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 x14ac:dyDescent="0.2">
      <c r="A11" s="147" t="s">
        <v>40</v>
      </c>
      <c r="B11" s="147"/>
      <c r="C11" s="147"/>
      <c r="D11" s="8">
        <f>SUM(D5:D10)</f>
        <v>100</v>
      </c>
      <c r="F11" s="17"/>
      <c r="G11" s="12"/>
      <c r="H11" s="15"/>
      <c r="I11" s="15"/>
      <c r="J11" s="15"/>
      <c r="K11" s="15"/>
      <c r="L11" s="16">
        <f t="shared" si="0"/>
        <v>0</v>
      </c>
    </row>
    <row r="12" spans="1:12" ht="14.25" x14ac:dyDescent="0.2">
      <c r="A12" s="10">
        <v>7</v>
      </c>
      <c r="B12" s="11" t="s">
        <v>40</v>
      </c>
      <c r="C12" s="12" t="s">
        <v>41</v>
      </c>
      <c r="D12" s="13">
        <v>8</v>
      </c>
      <c r="F12" s="17"/>
      <c r="G12" s="12"/>
      <c r="H12" s="15"/>
      <c r="I12" s="15"/>
      <c r="J12" s="15"/>
      <c r="K12" s="15"/>
      <c r="L12" s="16">
        <f t="shared" si="0"/>
        <v>0</v>
      </c>
    </row>
    <row r="13" spans="1:12" ht="14.25" x14ac:dyDescent="0.2">
      <c r="A13" s="10">
        <v>8</v>
      </c>
      <c r="B13" s="11" t="s">
        <v>40</v>
      </c>
      <c r="C13" s="12" t="s">
        <v>42</v>
      </c>
      <c r="D13" s="13">
        <v>10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4.25" x14ac:dyDescent="0.2">
      <c r="A14" s="10">
        <v>9</v>
      </c>
      <c r="B14" s="11" t="s">
        <v>40</v>
      </c>
      <c r="C14" s="18" t="s">
        <v>43</v>
      </c>
      <c r="D14" s="13">
        <v>7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40</v>
      </c>
      <c r="C15" s="18" t="s">
        <v>229</v>
      </c>
      <c r="D15" s="13">
        <v>12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40</v>
      </c>
      <c r="C16" s="18" t="s">
        <v>236</v>
      </c>
      <c r="D16" s="13">
        <v>15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40</v>
      </c>
      <c r="C17" s="18" t="s">
        <v>45</v>
      </c>
      <c r="D17" s="13">
        <v>7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>
        <v>13</v>
      </c>
      <c r="B18" s="11" t="s">
        <v>40</v>
      </c>
      <c r="C18" s="18" t="s">
        <v>231</v>
      </c>
      <c r="D18" s="13">
        <v>12</v>
      </c>
      <c r="F18" s="17"/>
      <c r="G18" s="12"/>
      <c r="H18" s="15"/>
      <c r="I18" s="15"/>
      <c r="J18" s="15"/>
      <c r="K18" s="15"/>
      <c r="L18" s="16"/>
    </row>
    <row r="19" spans="1:12" ht="14.25" x14ac:dyDescent="0.2">
      <c r="A19" s="10">
        <v>14</v>
      </c>
      <c r="B19" s="11" t="s">
        <v>40</v>
      </c>
      <c r="C19" s="18" t="s">
        <v>237</v>
      </c>
      <c r="D19" s="13">
        <v>15</v>
      </c>
      <c r="F19" s="17"/>
      <c r="G19" s="12"/>
      <c r="H19" s="15"/>
      <c r="I19" s="15"/>
      <c r="J19" s="15"/>
      <c r="K19" s="15"/>
      <c r="L19" s="16"/>
    </row>
    <row r="20" spans="1:12" ht="14.25" x14ac:dyDescent="0.2">
      <c r="A20" s="10">
        <v>15</v>
      </c>
      <c r="B20" s="11" t="s">
        <v>40</v>
      </c>
      <c r="C20" s="18" t="s">
        <v>230</v>
      </c>
      <c r="D20" s="13">
        <v>12</v>
      </c>
      <c r="F20" s="17"/>
      <c r="G20" s="12"/>
      <c r="H20" s="15"/>
      <c r="I20" s="15"/>
      <c r="J20" s="15"/>
      <c r="K20" s="15"/>
      <c r="L20" s="16"/>
    </row>
    <row r="21" spans="1:12" ht="14.25" x14ac:dyDescent="0.2">
      <c r="A21" s="10">
        <v>16</v>
      </c>
      <c r="B21" s="11" t="s">
        <v>40</v>
      </c>
      <c r="C21" s="18" t="s">
        <v>238</v>
      </c>
      <c r="D21" s="13">
        <v>15</v>
      </c>
      <c r="F21" s="17"/>
      <c r="G21" s="12"/>
      <c r="H21" s="15"/>
      <c r="I21" s="15"/>
      <c r="J21" s="15"/>
      <c r="K21" s="15"/>
      <c r="L21" s="16">
        <f t="shared" si="0"/>
        <v>0</v>
      </c>
    </row>
    <row r="22" spans="1:12" x14ac:dyDescent="0.2">
      <c r="A22" s="10">
        <v>17</v>
      </c>
      <c r="B22" s="11" t="s">
        <v>40</v>
      </c>
      <c r="C22" s="18" t="s">
        <v>46</v>
      </c>
      <c r="D22" s="13">
        <v>4</v>
      </c>
      <c r="H22" s="19"/>
      <c r="I22" s="19"/>
      <c r="J22" s="19"/>
      <c r="K22" s="19"/>
      <c r="L22" s="19"/>
    </row>
    <row r="23" spans="1:12" x14ac:dyDescent="0.2">
      <c r="A23" s="10">
        <v>18</v>
      </c>
      <c r="B23" s="11" t="s">
        <v>40</v>
      </c>
      <c r="C23" s="18" t="s">
        <v>47</v>
      </c>
      <c r="D23" s="13">
        <v>8</v>
      </c>
      <c r="H23" s="19"/>
      <c r="I23" s="19"/>
      <c r="J23" s="19"/>
      <c r="K23" s="19"/>
      <c r="L23" s="19"/>
    </row>
    <row r="24" spans="1:12" ht="15" customHeight="1" x14ac:dyDescent="0.2">
      <c r="A24" s="147" t="s">
        <v>48</v>
      </c>
      <c r="B24" s="147"/>
      <c r="C24" s="147"/>
      <c r="D24" s="8">
        <f>SUM(D12:D23)</f>
        <v>125</v>
      </c>
      <c r="H24" s="19"/>
      <c r="I24" s="19"/>
      <c r="J24" s="19"/>
      <c r="K24" s="19"/>
      <c r="L24" s="19"/>
    </row>
    <row r="25" spans="1:12" x14ac:dyDescent="0.2">
      <c r="A25" s="10">
        <v>19</v>
      </c>
      <c r="B25" s="11" t="s">
        <v>48</v>
      </c>
      <c r="C25" s="12" t="s">
        <v>41</v>
      </c>
      <c r="D25" s="13">
        <v>8</v>
      </c>
      <c r="H25" s="19"/>
      <c r="I25" s="19"/>
      <c r="J25" s="19"/>
      <c r="K25" s="19"/>
      <c r="L25" s="19"/>
    </row>
    <row r="26" spans="1:12" ht="14.25" x14ac:dyDescent="0.2">
      <c r="A26" s="10">
        <v>20</v>
      </c>
      <c r="B26" s="11" t="s">
        <v>48</v>
      </c>
      <c r="C26" s="12" t="s">
        <v>232</v>
      </c>
      <c r="D26" s="13">
        <v>8</v>
      </c>
    </row>
    <row r="27" spans="1:12" ht="14.25" x14ac:dyDescent="0.2">
      <c r="A27" s="10">
        <v>21</v>
      </c>
      <c r="B27" s="11" t="s">
        <v>48</v>
      </c>
      <c r="C27" s="12" t="s">
        <v>240</v>
      </c>
      <c r="D27" s="13">
        <v>28</v>
      </c>
    </row>
    <row r="28" spans="1:12" ht="14.25" x14ac:dyDescent="0.2">
      <c r="A28" s="10">
        <v>22</v>
      </c>
      <c r="B28" s="11" t="s">
        <v>48</v>
      </c>
      <c r="C28" s="12" t="s">
        <v>233</v>
      </c>
      <c r="D28" s="13">
        <v>8</v>
      </c>
    </row>
    <row r="29" spans="1:12" ht="14.25" x14ac:dyDescent="0.2">
      <c r="A29" s="10">
        <v>23</v>
      </c>
      <c r="B29" s="11" t="s">
        <v>48</v>
      </c>
      <c r="C29" s="12" t="s">
        <v>241</v>
      </c>
      <c r="D29" s="13">
        <v>28</v>
      </c>
    </row>
    <row r="30" spans="1:12" ht="14.25" x14ac:dyDescent="0.2">
      <c r="A30" s="10">
        <v>24</v>
      </c>
      <c r="B30" s="11" t="s">
        <v>48</v>
      </c>
      <c r="C30" s="12" t="s">
        <v>234</v>
      </c>
      <c r="D30" s="13">
        <v>8</v>
      </c>
    </row>
    <row r="31" spans="1:12" ht="14.25" x14ac:dyDescent="0.2">
      <c r="A31" s="10">
        <v>25</v>
      </c>
      <c r="B31" s="11" t="s">
        <v>48</v>
      </c>
      <c r="C31" s="12" t="s">
        <v>242</v>
      </c>
      <c r="D31" s="13">
        <v>28</v>
      </c>
    </row>
    <row r="32" spans="1:12" ht="14.25" x14ac:dyDescent="0.2">
      <c r="A32" s="10">
        <v>26</v>
      </c>
      <c r="B32" s="11" t="s">
        <v>48</v>
      </c>
      <c r="C32" s="12" t="s">
        <v>235</v>
      </c>
      <c r="D32" s="13">
        <v>20</v>
      </c>
    </row>
    <row r="33" spans="1:4" ht="14.25" x14ac:dyDescent="0.2">
      <c r="A33" s="10">
        <v>27</v>
      </c>
      <c r="B33" s="11" t="s">
        <v>48</v>
      </c>
      <c r="C33" s="18" t="s">
        <v>46</v>
      </c>
      <c r="D33" s="13">
        <v>6</v>
      </c>
    </row>
    <row r="34" spans="1:4" ht="14.25" x14ac:dyDescent="0.2">
      <c r="A34" s="10">
        <v>28</v>
      </c>
      <c r="B34" s="11" t="s">
        <v>48</v>
      </c>
      <c r="C34" s="18" t="s">
        <v>47</v>
      </c>
      <c r="D34" s="13">
        <v>18</v>
      </c>
    </row>
    <row r="35" spans="1:4" ht="15" customHeight="1" x14ac:dyDescent="0.2">
      <c r="A35" s="147" t="s">
        <v>49</v>
      </c>
      <c r="B35" s="147"/>
      <c r="C35" s="147"/>
      <c r="D35" s="8">
        <f>SUM(D25:D34)</f>
        <v>160</v>
      </c>
    </row>
    <row r="36" spans="1:4" ht="14.25" x14ac:dyDescent="0.2">
      <c r="A36" s="10">
        <v>29</v>
      </c>
      <c r="B36" s="11" t="s">
        <v>49</v>
      </c>
      <c r="C36" s="12" t="s">
        <v>41</v>
      </c>
      <c r="D36" s="13">
        <v>8</v>
      </c>
    </row>
    <row r="37" spans="1:4" ht="14.25" x14ac:dyDescent="0.2">
      <c r="A37" s="10">
        <v>30</v>
      </c>
      <c r="B37" s="11" t="s">
        <v>49</v>
      </c>
      <c r="C37" s="18" t="s">
        <v>50</v>
      </c>
      <c r="D37" s="13">
        <v>16</v>
      </c>
    </row>
    <row r="38" spans="1:4" ht="14.25" x14ac:dyDescent="0.2">
      <c r="A38" s="10">
        <v>31</v>
      </c>
      <c r="B38" s="11" t="s">
        <v>49</v>
      </c>
      <c r="C38" s="18" t="s">
        <v>51</v>
      </c>
      <c r="D38" s="13">
        <v>40</v>
      </c>
    </row>
    <row r="39" spans="1:4" ht="14.25" x14ac:dyDescent="0.2">
      <c r="A39" s="10">
        <v>32</v>
      </c>
      <c r="B39" s="11" t="s">
        <v>49</v>
      </c>
      <c r="C39" s="18" t="s">
        <v>52</v>
      </c>
      <c r="D39" s="13">
        <v>32</v>
      </c>
    </row>
    <row r="40" spans="1:4" ht="14.25" x14ac:dyDescent="0.2">
      <c r="A40" s="10">
        <v>33</v>
      </c>
      <c r="B40" s="11" t="s">
        <v>49</v>
      </c>
      <c r="C40" s="12" t="s">
        <v>53</v>
      </c>
      <c r="D40" s="13">
        <v>16</v>
      </c>
    </row>
    <row r="41" spans="1:4" ht="14.25" x14ac:dyDescent="0.2">
      <c r="A41" s="10">
        <v>34</v>
      </c>
      <c r="B41" s="11" t="s">
        <v>49</v>
      </c>
      <c r="C41" s="12" t="s">
        <v>54</v>
      </c>
      <c r="D41" s="13">
        <v>16</v>
      </c>
    </row>
    <row r="42" spans="1:4" ht="14.25" x14ac:dyDescent="0.2">
      <c r="A42" s="10">
        <v>35</v>
      </c>
      <c r="B42" s="11" t="s">
        <v>49</v>
      </c>
      <c r="C42" s="12" t="s">
        <v>55</v>
      </c>
      <c r="D42" s="13">
        <v>12</v>
      </c>
    </row>
    <row r="43" spans="1:4" ht="14.25" x14ac:dyDescent="0.2">
      <c r="A43" s="10">
        <v>36</v>
      </c>
      <c r="B43" s="11" t="s">
        <v>49</v>
      </c>
      <c r="C43" s="12" t="s">
        <v>56</v>
      </c>
      <c r="D43" s="13">
        <v>12</v>
      </c>
    </row>
    <row r="44" spans="1:4" ht="14.25" x14ac:dyDescent="0.2">
      <c r="A44" s="10">
        <v>37</v>
      </c>
      <c r="B44" s="20" t="s">
        <v>49</v>
      </c>
      <c r="C44" s="18" t="s">
        <v>46</v>
      </c>
      <c r="D44" s="13">
        <v>8</v>
      </c>
    </row>
    <row r="45" spans="1:4" ht="12" customHeight="1" x14ac:dyDescent="0.2">
      <c r="A45" s="148"/>
      <c r="B45" s="148"/>
      <c r="C45" s="148"/>
      <c r="D45" s="8">
        <f>SUM(D36:D44)</f>
        <v>160</v>
      </c>
    </row>
    <row r="46" spans="1:4" ht="15.75" x14ac:dyDescent="0.2">
      <c r="D46" s="22">
        <f>SUM(D11,D24,D35,D45)</f>
        <v>545</v>
      </c>
    </row>
  </sheetData>
  <mergeCells count="10">
    <mergeCell ref="A11:C11"/>
    <mergeCell ref="A24:C24"/>
    <mergeCell ref="A35:C35"/>
    <mergeCell ref="A45:C45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22"/>
  <sheetViews>
    <sheetView workbookViewId="0">
      <selection activeCell="B17" sqref="B17"/>
    </sheetView>
  </sheetViews>
  <sheetFormatPr defaultRowHeight="15" x14ac:dyDescent="0.25"/>
  <cols>
    <col min="1" max="1" width="48.25" style="1" customWidth="1"/>
    <col min="2" max="2" width="15.5" style="23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50" t="s">
        <v>57</v>
      </c>
      <c r="B1" s="150"/>
      <c r="C1" s="150"/>
    </row>
    <row r="2" spans="1:5" ht="7.5" customHeight="1" x14ac:dyDescent="0.25"/>
    <row r="3" spans="1:5" ht="15.75" x14ac:dyDescent="0.25">
      <c r="A3" s="151" t="s">
        <v>58</v>
      </c>
      <c r="B3" s="151"/>
      <c r="C3" s="151"/>
    </row>
    <row r="4" spans="1:5" ht="15.75" x14ac:dyDescent="0.25">
      <c r="A4" s="24" t="s">
        <v>59</v>
      </c>
      <c r="B4" s="25">
        <f>Backlog_Produto!$D$46</f>
        <v>545</v>
      </c>
      <c r="C4" s="24" t="s">
        <v>60</v>
      </c>
    </row>
    <row r="5" spans="1:5" x14ac:dyDescent="0.25">
      <c r="A5" s="26" t="s">
        <v>61</v>
      </c>
      <c r="B5" s="27">
        <v>0.1</v>
      </c>
      <c r="C5" s="26" t="s">
        <v>62</v>
      </c>
      <c r="E5" s="1" t="s">
        <v>63</v>
      </c>
    </row>
    <row r="6" spans="1:5" x14ac:dyDescent="0.25">
      <c r="A6" s="28" t="s">
        <v>64</v>
      </c>
      <c r="B6" s="29">
        <v>3</v>
      </c>
      <c r="C6" s="28"/>
    </row>
    <row r="7" spans="1:5" x14ac:dyDescent="0.25">
      <c r="A7" s="28" t="s">
        <v>65</v>
      </c>
      <c r="B7" s="29">
        <v>12.5</v>
      </c>
      <c r="C7" s="28" t="s">
        <v>60</v>
      </c>
    </row>
    <row r="8" spans="1:5" x14ac:dyDescent="0.25">
      <c r="A8" s="28" t="s">
        <v>66</v>
      </c>
      <c r="B8" s="30">
        <f>B6*B7*2</f>
        <v>75</v>
      </c>
      <c r="C8" s="28" t="s">
        <v>60</v>
      </c>
    </row>
    <row r="9" spans="1:5" ht="19.5" x14ac:dyDescent="0.3">
      <c r="A9" s="31" t="s">
        <v>67</v>
      </c>
      <c r="B9" s="32">
        <f>B11/2</f>
        <v>7.9933333333333332</v>
      </c>
      <c r="C9" s="31" t="s">
        <v>68</v>
      </c>
    </row>
    <row r="10" spans="1:5" ht="19.5" x14ac:dyDescent="0.3">
      <c r="A10" s="33" t="s">
        <v>69</v>
      </c>
      <c r="B10" s="32">
        <f>B4+(B4*B5)</f>
        <v>599.5</v>
      </c>
      <c r="C10" s="33" t="s">
        <v>60</v>
      </c>
    </row>
    <row r="11" spans="1:5" x14ac:dyDescent="0.25">
      <c r="A11" s="28" t="s">
        <v>70</v>
      </c>
      <c r="B11" s="30">
        <f>B10/B8*2</f>
        <v>15.986666666666666</v>
      </c>
      <c r="C11" s="28" t="s">
        <v>71</v>
      </c>
    </row>
    <row r="12" spans="1:5" ht="15.75" x14ac:dyDescent="0.25">
      <c r="A12" s="24" t="s">
        <v>72</v>
      </c>
      <c r="B12" s="34">
        <f>B11/4</f>
        <v>3.9966666666666666</v>
      </c>
      <c r="C12" s="24" t="s">
        <v>73</v>
      </c>
    </row>
    <row r="14" spans="1:5" ht="15.75" x14ac:dyDescent="0.25">
      <c r="A14" s="151" t="s">
        <v>74</v>
      </c>
      <c r="B14" s="151"/>
      <c r="C14" s="151"/>
    </row>
    <row r="15" spans="1:5" x14ac:dyDescent="0.25">
      <c r="A15" s="28" t="s">
        <v>75</v>
      </c>
      <c r="B15" s="35">
        <v>50</v>
      </c>
      <c r="C15" s="36"/>
    </row>
    <row r="16" spans="1:5" x14ac:dyDescent="0.25">
      <c r="A16" s="28" t="s">
        <v>76</v>
      </c>
      <c r="B16" s="37">
        <f>B10*B15</f>
        <v>29975</v>
      </c>
      <c r="C16" s="36"/>
    </row>
    <row r="17" spans="1:3" x14ac:dyDescent="0.25">
      <c r="A17" s="28" t="s">
        <v>77</v>
      </c>
      <c r="B17" s="27">
        <v>0.2</v>
      </c>
      <c r="C17" s="36"/>
    </row>
    <row r="18" spans="1:3" x14ac:dyDescent="0.25">
      <c r="A18" s="28" t="s">
        <v>78</v>
      </c>
      <c r="B18" s="38">
        <f>B16*B17</f>
        <v>5995</v>
      </c>
      <c r="C18" s="36"/>
    </row>
    <row r="19" spans="1:3" ht="18.75" x14ac:dyDescent="0.3">
      <c r="A19" s="39" t="s">
        <v>79</v>
      </c>
      <c r="B19" s="40">
        <f>B16+B18</f>
        <v>35970</v>
      </c>
      <c r="C19" s="36"/>
    </row>
    <row r="20" spans="1:3" x14ac:dyDescent="0.25">
      <c r="A20" s="28" t="s">
        <v>80</v>
      </c>
      <c r="B20" s="27">
        <v>0.2</v>
      </c>
      <c r="C20" s="36"/>
    </row>
    <row r="21" spans="1:3" x14ac:dyDescent="0.25">
      <c r="A21" s="28" t="s">
        <v>81</v>
      </c>
      <c r="B21" s="41">
        <f>B19*B20</f>
        <v>7194</v>
      </c>
      <c r="C21" s="36"/>
    </row>
    <row r="22" spans="1:3" ht="18.75" x14ac:dyDescent="0.3">
      <c r="A22" s="39" t="s">
        <v>82</v>
      </c>
      <c r="B22" s="40">
        <f>B19+B21</f>
        <v>43164</v>
      </c>
      <c r="C22" s="36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6"/>
  <sheetViews>
    <sheetView workbookViewId="0">
      <selection activeCell="I6" sqref="I6"/>
    </sheetView>
  </sheetViews>
  <sheetFormatPr defaultRowHeight="14.25" x14ac:dyDescent="0.2"/>
  <cols>
    <col min="1" max="1" width="6.125" style="58" customWidth="1"/>
    <col min="2" max="2" width="45.25" style="4" customWidth="1"/>
    <col min="3" max="3" width="13.875" style="58" customWidth="1"/>
    <col min="4" max="6" width="13.125" style="4" customWidth="1"/>
    <col min="7" max="9" width="13" style="4" customWidth="1"/>
    <col min="10" max="10" width="13" style="21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52" t="s">
        <v>83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t="15.75" x14ac:dyDescent="0.25">
      <c r="A2" s="153" t="s">
        <v>84</v>
      </c>
      <c r="B2" s="153"/>
      <c r="C2" s="153"/>
      <c r="D2" s="153"/>
      <c r="E2" s="42">
        <f>Planejamento!$B$10</f>
        <v>599.5</v>
      </c>
      <c r="F2" s="43"/>
      <c r="G2" s="153" t="s">
        <v>84</v>
      </c>
      <c r="H2" s="153"/>
      <c r="I2" s="153"/>
      <c r="J2" s="153"/>
      <c r="K2" s="42"/>
    </row>
    <row r="3" spans="1:11" x14ac:dyDescent="0.2">
      <c r="A3" s="44"/>
      <c r="B3" s="45"/>
      <c r="C3" s="154" t="s">
        <v>85</v>
      </c>
      <c r="D3" s="154"/>
      <c r="E3" s="154"/>
      <c r="F3" s="46"/>
      <c r="G3" s="155" t="s">
        <v>86</v>
      </c>
      <c r="H3" s="155"/>
      <c r="I3" s="155"/>
      <c r="J3" s="48"/>
      <c r="K3" s="49"/>
    </row>
    <row r="4" spans="1:11" x14ac:dyDescent="0.2">
      <c r="A4" s="47" t="s">
        <v>87</v>
      </c>
      <c r="B4" s="47" t="s">
        <v>88</v>
      </c>
      <c r="C4" s="47" t="s">
        <v>89</v>
      </c>
      <c r="D4" s="47" t="s">
        <v>90</v>
      </c>
      <c r="E4" s="47" t="s">
        <v>24</v>
      </c>
      <c r="F4" s="47" t="s">
        <v>91</v>
      </c>
      <c r="G4" s="47" t="s">
        <v>89</v>
      </c>
      <c r="H4" s="47" t="s">
        <v>92</v>
      </c>
      <c r="I4" s="47" t="s">
        <v>24</v>
      </c>
      <c r="J4" s="50" t="s">
        <v>93</v>
      </c>
      <c r="K4" s="47" t="s">
        <v>94</v>
      </c>
    </row>
    <row r="5" spans="1:11" x14ac:dyDescent="0.2">
      <c r="A5" s="51">
        <v>1</v>
      </c>
      <c r="B5" s="129" t="s">
        <v>95</v>
      </c>
      <c r="C5" s="130">
        <v>46245</v>
      </c>
      <c r="D5" s="130">
        <v>46259</v>
      </c>
      <c r="E5" s="131">
        <v>75</v>
      </c>
      <c r="F5" s="132" t="s">
        <v>96</v>
      </c>
      <c r="G5" s="130">
        <v>46245</v>
      </c>
      <c r="H5" s="130">
        <v>46262</v>
      </c>
      <c r="I5" s="131">
        <v>91.11</v>
      </c>
      <c r="J5" s="133">
        <f>E5-I5</f>
        <v>-16.11</v>
      </c>
      <c r="K5" s="134">
        <v>1</v>
      </c>
    </row>
    <row r="6" spans="1:11" x14ac:dyDescent="0.2">
      <c r="A6" s="51">
        <v>2</v>
      </c>
      <c r="B6" s="129" t="s">
        <v>97</v>
      </c>
      <c r="C6" s="130">
        <v>46259</v>
      </c>
      <c r="D6" s="130">
        <v>46273</v>
      </c>
      <c r="E6" s="131">
        <v>75</v>
      </c>
      <c r="F6" s="132" t="s">
        <v>239</v>
      </c>
      <c r="G6" s="130">
        <v>46266</v>
      </c>
      <c r="H6" s="130"/>
      <c r="I6" s="135"/>
      <c r="J6" s="136"/>
      <c r="K6" s="134"/>
    </row>
    <row r="7" spans="1:11" x14ac:dyDescent="0.2">
      <c r="A7" s="51">
        <v>3</v>
      </c>
      <c r="B7" s="137" t="s">
        <v>44</v>
      </c>
      <c r="C7" s="130">
        <v>46273</v>
      </c>
      <c r="D7" s="130">
        <v>46287</v>
      </c>
      <c r="E7" s="131">
        <v>75</v>
      </c>
      <c r="F7" s="132" t="s">
        <v>239</v>
      </c>
      <c r="G7" s="130">
        <v>46287</v>
      </c>
      <c r="H7" s="130"/>
      <c r="I7" s="135"/>
      <c r="J7" s="136"/>
      <c r="K7" s="134"/>
    </row>
    <row r="8" spans="1:11" x14ac:dyDescent="0.2">
      <c r="A8" s="51">
        <v>4</v>
      </c>
      <c r="B8" s="129" t="s">
        <v>244</v>
      </c>
      <c r="C8" s="130">
        <v>46287</v>
      </c>
      <c r="D8" s="130">
        <v>46301</v>
      </c>
      <c r="E8" s="131">
        <v>75</v>
      </c>
      <c r="F8" s="132" t="s">
        <v>98</v>
      </c>
      <c r="G8" s="130"/>
      <c r="H8" s="130"/>
      <c r="I8" s="135"/>
      <c r="J8" s="136"/>
      <c r="K8" s="134"/>
    </row>
    <row r="9" spans="1:11" x14ac:dyDescent="0.2">
      <c r="A9" s="51">
        <v>5</v>
      </c>
      <c r="B9" s="129" t="s">
        <v>245</v>
      </c>
      <c r="C9" s="130">
        <v>46301</v>
      </c>
      <c r="D9" s="130">
        <v>46315</v>
      </c>
      <c r="E9" s="131">
        <v>75</v>
      </c>
      <c r="F9" s="132" t="s">
        <v>98</v>
      </c>
      <c r="G9" s="130"/>
      <c r="H9" s="130"/>
      <c r="I9" s="135"/>
      <c r="J9" s="136"/>
      <c r="K9" s="134"/>
    </row>
    <row r="10" spans="1:11" x14ac:dyDescent="0.2">
      <c r="A10" s="51">
        <v>6</v>
      </c>
      <c r="B10" s="138" t="s">
        <v>246</v>
      </c>
      <c r="C10" s="130">
        <v>46315</v>
      </c>
      <c r="D10" s="130">
        <v>46329</v>
      </c>
      <c r="E10" s="131">
        <v>75</v>
      </c>
      <c r="F10" s="132" t="s">
        <v>98</v>
      </c>
      <c r="G10" s="130"/>
      <c r="H10" s="130"/>
      <c r="I10" s="135"/>
      <c r="J10" s="136"/>
      <c r="K10" s="134"/>
    </row>
    <row r="11" spans="1:11" ht="25.5" x14ac:dyDescent="0.2">
      <c r="A11" s="51">
        <v>7</v>
      </c>
      <c r="B11" s="129" t="s">
        <v>247</v>
      </c>
      <c r="C11" s="130">
        <v>46329</v>
      </c>
      <c r="D11" s="130">
        <v>46343</v>
      </c>
      <c r="E11" s="131">
        <v>75</v>
      </c>
      <c r="F11" s="132" t="s">
        <v>98</v>
      </c>
      <c r="G11" s="130"/>
      <c r="H11" s="130"/>
      <c r="I11" s="135"/>
      <c r="J11" s="136"/>
      <c r="K11" s="134"/>
    </row>
    <row r="12" spans="1:11" x14ac:dyDescent="0.2">
      <c r="A12" s="51">
        <v>8</v>
      </c>
      <c r="B12" s="139" t="s">
        <v>248</v>
      </c>
      <c r="C12" s="130">
        <v>46343</v>
      </c>
      <c r="D12" s="130">
        <v>46357</v>
      </c>
      <c r="E12" s="131">
        <v>75</v>
      </c>
      <c r="F12" s="132" t="s">
        <v>98</v>
      </c>
      <c r="G12" s="130"/>
      <c r="H12" s="130"/>
      <c r="I12" s="135"/>
      <c r="J12" s="136"/>
      <c r="K12" s="134"/>
    </row>
    <row r="13" spans="1:11" x14ac:dyDescent="0.2">
      <c r="A13" s="128"/>
      <c r="B13" s="129"/>
      <c r="C13" s="140"/>
      <c r="D13" s="130"/>
      <c r="E13" s="131"/>
      <c r="F13" s="132"/>
      <c r="G13" s="130"/>
      <c r="H13" s="130"/>
      <c r="I13" s="135"/>
      <c r="J13" s="136"/>
      <c r="K13" s="134"/>
    </row>
    <row r="14" spans="1:11" x14ac:dyDescent="0.2">
      <c r="A14" s="128"/>
      <c r="B14" s="129"/>
      <c r="C14" s="140"/>
      <c r="D14" s="130"/>
      <c r="E14" s="131"/>
      <c r="F14" s="132"/>
      <c r="G14" s="130"/>
      <c r="H14" s="130"/>
      <c r="I14" s="135"/>
      <c r="J14" s="136"/>
      <c r="K14" s="134"/>
    </row>
    <row r="15" spans="1:11" x14ac:dyDescent="0.2">
      <c r="A15" s="52"/>
      <c r="B15" s="127"/>
      <c r="C15" s="54"/>
      <c r="D15" s="53"/>
      <c r="E15" s="55">
        <f>SUM(E5:E14)</f>
        <v>600</v>
      </c>
      <c r="F15" s="53"/>
      <c r="G15" s="56"/>
      <c r="H15" s="56"/>
      <c r="I15" s="55">
        <f>SUM(I5:I14)</f>
        <v>91.11</v>
      </c>
      <c r="J15" s="57">
        <f>SUM(J5:J14)</f>
        <v>-16.11</v>
      </c>
      <c r="K15" s="56"/>
    </row>
    <row r="16" spans="1:11" s="4" customFormat="1" ht="12" x14ac:dyDescent="0.2">
      <c r="J16" s="21"/>
    </row>
  </sheetData>
  <mergeCells count="5">
    <mergeCell ref="A1:K1"/>
    <mergeCell ref="A2:D2"/>
    <mergeCell ref="G2:J2"/>
    <mergeCell ref="C3:E3"/>
    <mergeCell ref="G3:I3"/>
  </mergeCells>
  <conditionalFormatting sqref="A5:D5 A6:A14 C6:D14">
    <cfRule type="expression" dxfId="19" priority="8" stopIfTrue="1">
      <formula>OR($F5="Planned",$F5="Unplanned")</formula>
    </cfRule>
    <cfRule type="expression" dxfId="18" priority="9" stopIfTrue="1">
      <formula>$F5="Ongoing"</formula>
    </cfRule>
  </conditionalFormatting>
  <conditionalFormatting sqref="B6">
    <cfRule type="expression" dxfId="17" priority="23" stopIfTrue="1">
      <formula>$F6="Ongoing"</formula>
    </cfRule>
    <cfRule type="expression" dxfId="16" priority="24" stopIfTrue="1">
      <formula>OR($F6="Planned",$F6="Unplanned")</formula>
    </cfRule>
  </conditionalFormatting>
  <conditionalFormatting sqref="B8:B9">
    <cfRule type="expression" dxfId="15" priority="14" stopIfTrue="1">
      <formula>$F7="Ongoing"</formula>
    </cfRule>
    <cfRule type="expression" dxfId="14" priority="18" stopIfTrue="1">
      <formula>OR($F7="Planned",$F7="Unplanned")</formula>
    </cfRule>
  </conditionalFormatting>
  <conditionalFormatting sqref="B11">
    <cfRule type="expression" dxfId="13" priority="20" stopIfTrue="1">
      <formula>$F9="Ongoing"</formula>
    </cfRule>
    <cfRule type="expression" dxfId="12" priority="22" stopIfTrue="1">
      <formula>OR($F9="Planned",$F9="Unplanned")</formula>
    </cfRule>
  </conditionalFormatting>
  <conditionalFormatting sqref="B11:B14">
    <cfRule type="expression" dxfId="11" priority="26" stopIfTrue="1">
      <formula>$F11="Ongoing"</formula>
    </cfRule>
    <cfRule type="expression" dxfId="10" priority="29" stopIfTrue="1">
      <formula>OR($F11="Planned",$F11="Unplanned")</formula>
    </cfRule>
  </conditionalFormatting>
  <conditionalFormatting sqref="B13:B14">
    <cfRule type="expression" dxfId="9" priority="1" stopIfTrue="1">
      <formula>$F11="Ongoing"</formula>
    </cfRule>
    <cfRule type="expression" dxfId="8" priority="2" stopIfTrue="1">
      <formula>OR($F11="Planned",$F11="Unplanned")</formula>
    </cfRule>
  </conditionalFormatting>
  <conditionalFormatting sqref="F5:F14">
    <cfRule type="expression" dxfId="7" priority="3" stopIfTrue="1">
      <formula>$F5="Planned"</formula>
    </cfRule>
    <cfRule type="expression" dxfId="6" priority="4" stopIfTrue="1">
      <formula>$F5="Ongoing"</formula>
    </cfRule>
    <cfRule type="cellIs" dxfId="5" priority="5" stopIfTrue="1" operator="equal">
      <formula>"Unplanned"</formula>
    </cfRule>
  </conditionalFormatting>
  <conditionalFormatting sqref="G5:H14">
    <cfRule type="expression" dxfId="4" priority="6" stopIfTrue="1">
      <formula>OR($F5="Planned",$F5="Unplanned")</formula>
    </cfRule>
    <cfRule type="expression" dxfId="3" priority="7" stopIfTrue="1">
      <formula>$F5="Ongoing"</formula>
    </cfRule>
  </conditionalFormatting>
  <dataValidations count="1">
    <dataValidation type="list" allowBlank="1" showInputMessage="1" showErrorMessage="1" sqref="F5:F14" xr:uid="{00000000-0002-0000-0300-000000000000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60"/>
  <sheetViews>
    <sheetView topLeftCell="A52" workbookViewId="0">
      <selection activeCell="H57" sqref="H57:I57"/>
    </sheetView>
  </sheetViews>
  <sheetFormatPr defaultRowHeight="14.25" x14ac:dyDescent="0.2"/>
  <cols>
    <col min="1" max="1" width="5.625" style="60" customWidth="1"/>
    <col min="2" max="2" width="39.25" style="60" bestFit="1" customWidth="1"/>
    <col min="3" max="3" width="9.875" style="60" bestFit="1" customWidth="1"/>
    <col min="4" max="4" width="13.25" style="60" customWidth="1"/>
    <col min="5" max="5" width="8.875" style="60" customWidth="1"/>
    <col min="6" max="6" width="12.5" style="60" customWidth="1"/>
    <col min="7" max="7" width="9.125" style="60" customWidth="1"/>
    <col min="8" max="9" width="12.25" style="60" customWidth="1"/>
    <col min="10" max="10" width="24.25" style="60" customWidth="1"/>
    <col min="11" max="11" width="27.875" style="60" customWidth="1"/>
    <col min="12" max="12" width="8.5" style="60" customWidth="1"/>
    <col min="13" max="14" width="20.5" style="60" customWidth="1"/>
    <col min="15" max="256" width="8.5" style="60" customWidth="1"/>
    <col min="257" max="258" width="6.5" style="60" customWidth="1"/>
    <col min="259" max="259" width="13.875" style="60" customWidth="1"/>
    <col min="260" max="260" width="9" style="60" customWidth="1"/>
    <col min="261" max="261" width="13.5" style="60" customWidth="1"/>
    <col min="262" max="262" width="10" style="60" customWidth="1"/>
    <col min="263" max="263" width="12.25" style="60" customWidth="1"/>
    <col min="264" max="264" width="5.875" style="60" customWidth="1"/>
    <col min="265" max="265" width="24.25" style="60" customWidth="1"/>
    <col min="266" max="266" width="32.5" style="60" customWidth="1"/>
    <col min="267" max="267" width="17.625" style="60" customWidth="1"/>
    <col min="268" max="268" width="8.5" style="60" customWidth="1"/>
    <col min="269" max="270" width="20.5" style="60" customWidth="1"/>
    <col min="271" max="512" width="8.5" style="60" customWidth="1"/>
    <col min="513" max="514" width="6.5" style="60" customWidth="1"/>
    <col min="515" max="515" width="13.875" style="60" customWidth="1"/>
    <col min="516" max="516" width="9" style="60" customWidth="1"/>
    <col min="517" max="517" width="13.5" style="60" customWidth="1"/>
    <col min="518" max="518" width="10" style="60" customWidth="1"/>
    <col min="519" max="519" width="12.25" style="60" customWidth="1"/>
    <col min="520" max="520" width="5.875" style="60" customWidth="1"/>
    <col min="521" max="521" width="24.25" style="60" customWidth="1"/>
    <col min="522" max="522" width="32.5" style="60" customWidth="1"/>
    <col min="523" max="523" width="17.625" style="60" customWidth="1"/>
    <col min="524" max="524" width="8.5" style="60" customWidth="1"/>
    <col min="525" max="526" width="20.5" style="60" customWidth="1"/>
    <col min="527" max="768" width="8.5" style="60" customWidth="1"/>
    <col min="769" max="770" width="6.5" style="60" customWidth="1"/>
    <col min="771" max="771" width="13.875" style="60" customWidth="1"/>
    <col min="772" max="772" width="9" style="60" customWidth="1"/>
    <col min="773" max="773" width="13.5" style="60" customWidth="1"/>
    <col min="774" max="774" width="10" style="60" customWidth="1"/>
    <col min="775" max="775" width="12.25" style="60" customWidth="1"/>
    <col min="776" max="776" width="5.875" style="60" customWidth="1"/>
    <col min="777" max="777" width="24.25" style="60" customWidth="1"/>
    <col min="778" max="778" width="32.5" style="60" customWidth="1"/>
    <col min="779" max="779" width="17.625" style="60" customWidth="1"/>
    <col min="780" max="780" width="8.5" style="60" customWidth="1"/>
    <col min="781" max="782" width="20.5" style="60" customWidth="1"/>
    <col min="783" max="1024" width="8.5" style="60" customWidth="1"/>
    <col min="1025" max="1025" width="9" customWidth="1"/>
  </cols>
  <sheetData>
    <row r="1" spans="1:11" s="59" customFormat="1" ht="21" customHeight="1" x14ac:dyDescent="0.35">
      <c r="A1" s="152" t="s">
        <v>99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idden="1" x14ac:dyDescent="0.2"/>
    <row r="3" spans="1:11" hidden="1" x14ac:dyDescent="0.2">
      <c r="D3" s="61" t="s">
        <v>100</v>
      </c>
    </row>
    <row r="4" spans="1:11" ht="22.5" hidden="1" x14ac:dyDescent="0.2">
      <c r="D4" s="62" t="s">
        <v>101</v>
      </c>
    </row>
    <row r="5" spans="1:11" hidden="1" x14ac:dyDescent="0.2">
      <c r="D5" s="62" t="s">
        <v>102</v>
      </c>
    </row>
    <row r="6" spans="1:11" hidden="1" x14ac:dyDescent="0.2">
      <c r="D6" s="62" t="s">
        <v>103</v>
      </c>
    </row>
    <row r="7" spans="1:11" ht="22.5" hidden="1" x14ac:dyDescent="0.2">
      <c r="D7" s="62" t="s">
        <v>104</v>
      </c>
    </row>
    <row r="8" spans="1:11" hidden="1" x14ac:dyDescent="0.2">
      <c r="D8" s="62" t="s">
        <v>105</v>
      </c>
    </row>
    <row r="9" spans="1:11" hidden="1" x14ac:dyDescent="0.2">
      <c r="D9" s="62" t="s">
        <v>106</v>
      </c>
    </row>
    <row r="10" spans="1:11" hidden="1" x14ac:dyDescent="0.2">
      <c r="D10" s="62" t="s">
        <v>107</v>
      </c>
    </row>
    <row r="11" spans="1:11" ht="22.5" hidden="1" x14ac:dyDescent="0.2">
      <c r="D11" s="62" t="s">
        <v>108</v>
      </c>
    </row>
    <row r="12" spans="1:11" hidden="1" x14ac:dyDescent="0.2">
      <c r="D12" s="62" t="s">
        <v>109</v>
      </c>
    </row>
    <row r="13" spans="1:11" ht="22.5" hidden="1" x14ac:dyDescent="0.2">
      <c r="D13" s="62" t="s">
        <v>110</v>
      </c>
    </row>
    <row r="14" spans="1:11" ht="22.5" hidden="1" x14ac:dyDescent="0.2">
      <c r="D14" s="61" t="s">
        <v>111</v>
      </c>
    </row>
    <row r="15" spans="1:11" hidden="1" x14ac:dyDescent="0.2">
      <c r="D15" s="62" t="s">
        <v>112</v>
      </c>
    </row>
    <row r="16" spans="1:11" hidden="1" x14ac:dyDescent="0.2">
      <c r="D16" s="62" t="s">
        <v>113</v>
      </c>
    </row>
    <row r="17" spans="4:4" hidden="1" x14ac:dyDescent="0.2">
      <c r="D17" s="62" t="s">
        <v>114</v>
      </c>
    </row>
    <row r="18" spans="4:4" hidden="1" x14ac:dyDescent="0.2">
      <c r="D18" s="61" t="s">
        <v>115</v>
      </c>
    </row>
    <row r="19" spans="4:4" hidden="1" x14ac:dyDescent="0.2">
      <c r="D19" s="62" t="s">
        <v>116</v>
      </c>
    </row>
    <row r="20" spans="4:4" hidden="1" x14ac:dyDescent="0.2">
      <c r="D20" s="62" t="s">
        <v>117</v>
      </c>
    </row>
    <row r="21" spans="4:4" hidden="1" x14ac:dyDescent="0.2">
      <c r="D21" s="62" t="s">
        <v>118</v>
      </c>
    </row>
    <row r="22" spans="4:4" hidden="1" x14ac:dyDescent="0.2">
      <c r="D22" s="61" t="s">
        <v>119</v>
      </c>
    </row>
    <row r="23" spans="4:4" hidden="1" x14ac:dyDescent="0.2">
      <c r="D23" s="62" t="s">
        <v>120</v>
      </c>
    </row>
    <row r="24" spans="4:4" hidden="1" x14ac:dyDescent="0.2">
      <c r="D24" s="62" t="s">
        <v>121</v>
      </c>
    </row>
    <row r="25" spans="4:4" hidden="1" x14ac:dyDescent="0.2">
      <c r="D25" s="62" t="s">
        <v>122</v>
      </c>
    </row>
    <row r="26" spans="4:4" hidden="1" x14ac:dyDescent="0.2">
      <c r="D26" s="62" t="s">
        <v>123</v>
      </c>
    </row>
    <row r="27" spans="4:4" hidden="1" x14ac:dyDescent="0.2">
      <c r="D27" s="61" t="s">
        <v>124</v>
      </c>
    </row>
    <row r="28" spans="4:4" hidden="1" x14ac:dyDescent="0.2">
      <c r="D28" s="62" t="s">
        <v>125</v>
      </c>
    </row>
    <row r="29" spans="4:4" hidden="1" x14ac:dyDescent="0.2">
      <c r="D29" s="62" t="s">
        <v>126</v>
      </c>
    </row>
    <row r="30" spans="4:4" hidden="1" x14ac:dyDescent="0.2">
      <c r="D30" s="62" t="s">
        <v>127</v>
      </c>
    </row>
    <row r="31" spans="4:4" s="63" customFormat="1" ht="11.25" hidden="1" x14ac:dyDescent="0.2">
      <c r="D31" s="64" t="s">
        <v>128</v>
      </c>
    </row>
    <row r="32" spans="4:4" hidden="1" x14ac:dyDescent="0.2">
      <c r="D32" s="65" t="s">
        <v>129</v>
      </c>
    </row>
    <row r="33" spans="1:11" ht="22.5" hidden="1" customHeight="1" x14ac:dyDescent="0.2">
      <c r="D33" s="161" t="s">
        <v>130</v>
      </c>
      <c r="E33" s="161"/>
    </row>
    <row r="34" spans="1:11" hidden="1" x14ac:dyDescent="0.2">
      <c r="D34" s="62">
        <v>4290</v>
      </c>
      <c r="E34" s="62" t="s">
        <v>131</v>
      </c>
    </row>
    <row r="35" spans="1:11" ht="22.5" hidden="1" x14ac:dyDescent="0.2">
      <c r="D35" s="62">
        <v>5082</v>
      </c>
      <c r="E35" s="62" t="s">
        <v>132</v>
      </c>
    </row>
    <row r="36" spans="1:11" ht="22.5" hidden="1" x14ac:dyDescent="0.2">
      <c r="D36" s="62">
        <v>4356</v>
      </c>
      <c r="E36" s="62" t="s">
        <v>133</v>
      </c>
    </row>
    <row r="37" spans="1:11" ht="22.5" hidden="1" x14ac:dyDescent="0.2">
      <c r="D37" s="62">
        <v>5929</v>
      </c>
      <c r="E37" s="62" t="s">
        <v>134</v>
      </c>
    </row>
    <row r="38" spans="1:11" hidden="1" x14ac:dyDescent="0.2">
      <c r="D38" s="62">
        <v>5005</v>
      </c>
      <c r="E38" s="62" t="s">
        <v>135</v>
      </c>
    </row>
    <row r="39" spans="1:11" hidden="1" x14ac:dyDescent="0.2">
      <c r="D39" s="62">
        <v>4225</v>
      </c>
      <c r="E39" s="62" t="s">
        <v>136</v>
      </c>
    </row>
    <row r="40" spans="1:11" ht="8.25" customHeight="1" x14ac:dyDescent="0.2"/>
    <row r="41" spans="1:11" s="59" customFormat="1" ht="12.75" customHeight="1" x14ac:dyDescent="0.25">
      <c r="A41" s="162" t="s">
        <v>137</v>
      </c>
      <c r="B41" s="162"/>
      <c r="C41" s="162"/>
      <c r="D41" s="162"/>
      <c r="E41" s="162"/>
      <c r="F41" s="162"/>
      <c r="G41" s="162"/>
      <c r="H41" s="162"/>
      <c r="I41" s="162"/>
      <c r="J41" s="162"/>
      <c r="K41" s="162"/>
    </row>
    <row r="42" spans="1:11" s="59" customFormat="1" ht="12.75" customHeight="1" x14ac:dyDescent="0.25">
      <c r="A42" s="163" t="s">
        <v>138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</row>
    <row r="43" spans="1:11" s="59" customFormat="1" ht="15" customHeight="1" x14ac:dyDescent="0.25">
      <c r="A43" s="164" t="s">
        <v>139</v>
      </c>
      <c r="B43" s="164"/>
      <c r="C43" s="164"/>
      <c r="D43" s="164"/>
      <c r="E43" s="164"/>
      <c r="F43" s="164"/>
      <c r="G43" s="164"/>
      <c r="H43" s="164"/>
      <c r="I43" s="164"/>
      <c r="J43" s="164"/>
      <c r="K43" s="164"/>
    </row>
    <row r="44" spans="1:11" s="59" customFormat="1" ht="15.75" customHeight="1" x14ac:dyDescent="0.25">
      <c r="A44" s="160" t="s">
        <v>140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</row>
    <row r="45" spans="1:11" ht="9" customHeight="1" x14ac:dyDescent="0.2"/>
    <row r="46" spans="1:11" ht="15" x14ac:dyDescent="0.25">
      <c r="A46" s="167" t="s">
        <v>141</v>
      </c>
      <c r="B46" s="167"/>
      <c r="C46" s="167"/>
      <c r="D46" s="167"/>
      <c r="E46" s="167"/>
      <c r="F46" s="167"/>
      <c r="G46" s="167"/>
      <c r="H46" s="167"/>
      <c r="I46" s="167"/>
      <c r="J46" s="167"/>
      <c r="K46" s="167"/>
    </row>
    <row r="47" spans="1:11" s="68" customFormat="1" ht="12.75" customHeight="1" x14ac:dyDescent="0.2">
      <c r="A47" s="66" t="s">
        <v>142</v>
      </c>
      <c r="B47" s="67"/>
      <c r="C47" s="168" t="s">
        <v>143</v>
      </c>
      <c r="D47" s="168"/>
      <c r="E47" s="168"/>
      <c r="F47" s="168"/>
      <c r="G47" s="168"/>
      <c r="H47" s="168"/>
      <c r="I47" s="168"/>
      <c r="J47" s="168"/>
      <c r="K47" s="168"/>
    </row>
    <row r="48" spans="1:11" s="70" customFormat="1" ht="11.25" customHeight="1" x14ac:dyDescent="0.2">
      <c r="A48" s="169"/>
      <c r="B48" s="170" t="s">
        <v>144</v>
      </c>
      <c r="C48" s="170" t="s">
        <v>145</v>
      </c>
      <c r="D48" s="170" t="s">
        <v>146</v>
      </c>
      <c r="E48" s="170" t="s">
        <v>115</v>
      </c>
      <c r="F48" s="170" t="s">
        <v>147</v>
      </c>
      <c r="G48" s="170" t="s">
        <v>119</v>
      </c>
      <c r="H48" s="171" t="s">
        <v>148</v>
      </c>
      <c r="I48" s="171"/>
      <c r="J48" s="171"/>
      <c r="K48" s="171"/>
    </row>
    <row r="49" spans="1:11" s="70" customFormat="1" ht="11.25" customHeight="1" x14ac:dyDescent="0.2">
      <c r="A49" s="169"/>
      <c r="B49" s="170"/>
      <c r="C49" s="170"/>
      <c r="D49" s="170"/>
      <c r="E49" s="170"/>
      <c r="F49" s="170"/>
      <c r="G49" s="170"/>
      <c r="H49" s="170" t="s">
        <v>149</v>
      </c>
      <c r="I49" s="170"/>
      <c r="J49" s="69" t="s">
        <v>150</v>
      </c>
      <c r="K49" s="69" t="s">
        <v>151</v>
      </c>
    </row>
    <row r="50" spans="1:11" s="70" customFormat="1" ht="33.75" customHeight="1" x14ac:dyDescent="0.2">
      <c r="A50" s="71">
        <v>1</v>
      </c>
      <c r="B50" s="72" t="s">
        <v>249</v>
      </c>
      <c r="C50" s="73">
        <v>46300</v>
      </c>
      <c r="D50" s="74" t="s">
        <v>113</v>
      </c>
      <c r="E50" s="124" t="s">
        <v>114</v>
      </c>
      <c r="F50" s="75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4" t="s">
        <v>121</v>
      </c>
      <c r="H50" s="156" t="s">
        <v>257</v>
      </c>
      <c r="I50" s="157"/>
      <c r="J50" s="76" t="s">
        <v>265</v>
      </c>
      <c r="K50" s="76" t="s">
        <v>274</v>
      </c>
    </row>
    <row r="51" spans="1:11" s="70" customFormat="1" ht="11.25" customHeight="1" x14ac:dyDescent="0.2">
      <c r="A51" s="71">
        <v>2</v>
      </c>
      <c r="B51" s="116" t="s">
        <v>256</v>
      </c>
      <c r="C51" s="73">
        <v>46300</v>
      </c>
      <c r="D51" s="118" t="s">
        <v>113</v>
      </c>
      <c r="E51" s="124" t="s">
        <v>114</v>
      </c>
      <c r="F51" s="75" t="str">
        <f t="shared" si="0"/>
        <v>Alta</v>
      </c>
      <c r="G51" s="74" t="s">
        <v>121</v>
      </c>
      <c r="H51" s="158" t="s">
        <v>258</v>
      </c>
      <c r="I51" s="159"/>
      <c r="J51" s="76" t="s">
        <v>266</v>
      </c>
      <c r="K51" s="76" t="s">
        <v>275</v>
      </c>
    </row>
    <row r="52" spans="1:11" s="70" customFormat="1" ht="33.75" x14ac:dyDescent="0.2">
      <c r="A52" s="120">
        <v>3</v>
      </c>
      <c r="B52" s="122" t="s">
        <v>255</v>
      </c>
      <c r="C52" s="73">
        <v>46300</v>
      </c>
      <c r="D52" s="118" t="s">
        <v>113</v>
      </c>
      <c r="E52" s="124" t="s">
        <v>114</v>
      </c>
      <c r="F52" s="117" t="str">
        <f t="shared" si="0"/>
        <v>Alta</v>
      </c>
      <c r="G52" s="74" t="s">
        <v>121</v>
      </c>
      <c r="H52" s="156" t="s">
        <v>259</v>
      </c>
      <c r="I52" s="157"/>
      <c r="J52" s="76" t="s">
        <v>267</v>
      </c>
      <c r="K52" s="76" t="s">
        <v>268</v>
      </c>
    </row>
    <row r="53" spans="1:11" s="70" customFormat="1" ht="33.75" x14ac:dyDescent="0.2">
      <c r="A53" s="71">
        <v>4</v>
      </c>
      <c r="B53" s="123" t="s">
        <v>254</v>
      </c>
      <c r="C53" s="73">
        <v>46300</v>
      </c>
      <c r="D53" s="118" t="s">
        <v>113</v>
      </c>
      <c r="E53" s="124" t="s">
        <v>114</v>
      </c>
      <c r="F53" s="117" t="str">
        <f>IF(OR((CODE($D53)*CODE($E53))=$D$36,(CODE($D53)*CODE($E53))=$D$35),$D$15,IF(OR((CODE($D53)*CODE($E53))=$D$34,(CODE($D53)*CODE($E53))=$D$37),$D$16,IF(OR((CODE($D53)*CODE($E53))=$D$38,(CODE($D53)*CODE($E53))=$D$39),$D$17,0)))</f>
        <v>Alta</v>
      </c>
      <c r="G53" s="74" t="s">
        <v>121</v>
      </c>
      <c r="H53" s="158" t="s">
        <v>260</v>
      </c>
      <c r="I53" s="159"/>
      <c r="J53" s="76" t="s">
        <v>269</v>
      </c>
      <c r="K53" s="76" t="s">
        <v>276</v>
      </c>
    </row>
    <row r="54" spans="1:11" s="70" customFormat="1" ht="33.75" x14ac:dyDescent="0.2">
      <c r="A54" s="120">
        <v>5</v>
      </c>
      <c r="B54" s="125" t="s">
        <v>253</v>
      </c>
      <c r="C54" s="73">
        <v>46300</v>
      </c>
      <c r="D54" s="118" t="s">
        <v>113</v>
      </c>
      <c r="E54" s="124" t="s">
        <v>114</v>
      </c>
      <c r="F54" s="117" t="str">
        <f t="shared" si="0"/>
        <v>Alta</v>
      </c>
      <c r="G54" s="74" t="s">
        <v>121</v>
      </c>
      <c r="H54" s="158" t="s">
        <v>261</v>
      </c>
      <c r="I54" s="159"/>
      <c r="J54" s="76" t="s">
        <v>270</v>
      </c>
      <c r="K54" s="76" t="s">
        <v>277</v>
      </c>
    </row>
    <row r="55" spans="1:11" s="70" customFormat="1" ht="22.5" x14ac:dyDescent="0.2">
      <c r="A55" s="71">
        <v>6</v>
      </c>
      <c r="B55" s="121" t="s">
        <v>252</v>
      </c>
      <c r="C55" s="73">
        <v>46300</v>
      </c>
      <c r="D55" s="124" t="s">
        <v>114</v>
      </c>
      <c r="E55" s="118" t="s">
        <v>113</v>
      </c>
      <c r="F55" s="117" t="str">
        <f t="shared" si="0"/>
        <v>Alta</v>
      </c>
      <c r="G55" s="74" t="s">
        <v>121</v>
      </c>
      <c r="H55" s="158" t="s">
        <v>262</v>
      </c>
      <c r="I55" s="159"/>
      <c r="J55" s="76" t="s">
        <v>271</v>
      </c>
      <c r="K55" s="76" t="s">
        <v>278</v>
      </c>
    </row>
    <row r="56" spans="1:11" s="70" customFormat="1" ht="67.5" x14ac:dyDescent="0.2">
      <c r="A56" s="120">
        <v>7</v>
      </c>
      <c r="B56" s="72" t="s">
        <v>251</v>
      </c>
      <c r="C56" s="73">
        <v>46300</v>
      </c>
      <c r="D56" s="118" t="s">
        <v>113</v>
      </c>
      <c r="E56" s="118" t="s">
        <v>113</v>
      </c>
      <c r="F56" s="75" t="str">
        <f t="shared" si="0"/>
        <v>Média</v>
      </c>
      <c r="G56" s="74" t="s">
        <v>121</v>
      </c>
      <c r="H56" s="77" t="s">
        <v>263</v>
      </c>
      <c r="I56" s="78"/>
      <c r="J56" s="76" t="s">
        <v>272</v>
      </c>
      <c r="K56" s="76" t="s">
        <v>279</v>
      </c>
    </row>
    <row r="57" spans="1:11" s="70" customFormat="1" ht="33.75" x14ac:dyDescent="0.2">
      <c r="A57" s="71">
        <v>8</v>
      </c>
      <c r="B57" s="72" t="s">
        <v>250</v>
      </c>
      <c r="C57" s="73">
        <v>46300</v>
      </c>
      <c r="D57" s="124" t="s">
        <v>112</v>
      </c>
      <c r="E57" s="124" t="s">
        <v>114</v>
      </c>
      <c r="F57" s="117" t="str">
        <f t="shared" si="0"/>
        <v>Média</v>
      </c>
      <c r="G57" s="74" t="s">
        <v>121</v>
      </c>
      <c r="H57" s="158" t="s">
        <v>264</v>
      </c>
      <c r="I57" s="159"/>
      <c r="J57" s="76" t="s">
        <v>273</v>
      </c>
      <c r="K57" s="76" t="s">
        <v>280</v>
      </c>
    </row>
    <row r="58" spans="1:11" s="70" customFormat="1" ht="11.25" x14ac:dyDescent="0.2">
      <c r="A58" s="120">
        <v>9</v>
      </c>
      <c r="B58" s="72"/>
      <c r="C58" s="73"/>
      <c r="D58" s="118"/>
      <c r="E58" s="119"/>
      <c r="F58" s="75" t="e">
        <f t="shared" si="0"/>
        <v>#VALUE!</v>
      </c>
      <c r="G58" s="74"/>
      <c r="H58" s="158"/>
      <c r="I58" s="159"/>
      <c r="J58" s="76"/>
      <c r="K58" s="76"/>
    </row>
    <row r="59" spans="1:11" s="70" customFormat="1" x14ac:dyDescent="0.2">
      <c r="A59" s="71">
        <v>10</v>
      </c>
      <c r="B59" s="72"/>
      <c r="C59" s="73"/>
      <c r="D59" s="74"/>
      <c r="E59" s="74"/>
      <c r="F59" s="75" t="e">
        <f t="shared" si="0"/>
        <v>#VALUE!</v>
      </c>
      <c r="G59" s="74"/>
      <c r="H59" s="165"/>
      <c r="I59" s="166"/>
      <c r="J59" s="76"/>
      <c r="K59" s="76"/>
    </row>
    <row r="60" spans="1:11" s="70" customFormat="1" x14ac:dyDescent="0.2">
      <c r="A60" s="120">
        <v>11</v>
      </c>
      <c r="B60" s="72"/>
      <c r="C60" s="73"/>
      <c r="D60" s="74"/>
      <c r="E60" s="74"/>
      <c r="F60" s="75" t="e">
        <f t="shared" si="0"/>
        <v>#VALUE!</v>
      </c>
      <c r="G60" s="74"/>
      <c r="H60" s="165"/>
      <c r="I60" s="166"/>
      <c r="J60" s="76"/>
      <c r="K60" s="76"/>
    </row>
  </sheetData>
  <mergeCells count="27"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1"/>
    <mergeCell ref="H58:I58"/>
    <mergeCell ref="H49:I49"/>
    <mergeCell ref="H50:I50"/>
    <mergeCell ref="A44:K44"/>
    <mergeCell ref="A1:K1"/>
    <mergeCell ref="D33:E33"/>
    <mergeCell ref="A41:K41"/>
    <mergeCell ref="A42:K42"/>
    <mergeCell ref="A43:K43"/>
    <mergeCell ref="H52:I52"/>
    <mergeCell ref="H53:I53"/>
    <mergeCell ref="H54:I54"/>
    <mergeCell ref="H55:I55"/>
    <mergeCell ref="H57:I57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disablePrompts="1" count="4">
    <dataValidation type="list" allowBlank="1" showInputMessage="1" showErrorMessage="1" sqref="ACQ983095:ACQ983097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D50:D54 D56:E56 D58:D60 E55" xr:uid="{00000000-0002-0000-0400-000000000000}">
      <formula1>$D$15:$D$17</formula1>
    </dataValidation>
    <dataValidation type="list" allowBlank="1" showInputMessage="1" showErrorMessage="1" sqref="ACR983095:ACR983097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E58:E60" xr:uid="{00000000-0002-0000-0400-000001000000}">
      <formula1>$D$19:$D$21</formula1>
    </dataValidation>
    <dataValidation type="list" allowBlank="1" showInputMessage="1" showErrorMessage="1" sqref="ACT983095:ACT983097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G50:G60" xr:uid="{00000000-0002-0000-0400-000002000000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00000000-0002-0000-0400-000003000000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27"/>
  <sheetViews>
    <sheetView topLeftCell="B4" workbookViewId="0">
      <selection activeCell="N26" sqref="N26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59" customFormat="1" ht="21" customHeight="1" x14ac:dyDescent="0.35">
      <c r="A1" s="174" t="s">
        <v>152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1:23" s="79" customFormat="1" ht="12.75" customHeight="1" x14ac:dyDescent="0.2">
      <c r="A2" s="175" t="s">
        <v>137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</row>
    <row r="3" spans="1:23" s="79" customFormat="1" ht="15" customHeight="1" x14ac:dyDescent="0.2">
      <c r="A3" s="176" t="s">
        <v>153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</row>
    <row r="4" spans="1:23" s="79" customFormat="1" ht="15" customHeight="1" x14ac:dyDescent="0.2">
      <c r="A4" s="177" t="s">
        <v>154</v>
      </c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</row>
    <row r="5" spans="1:23" s="79" customFormat="1" ht="15.75" customHeight="1" x14ac:dyDescent="0.2">
      <c r="A5" s="178" t="s">
        <v>155</v>
      </c>
      <c r="B5" s="178"/>
      <c r="C5" s="178"/>
      <c r="D5" s="178"/>
      <c r="E5" s="178"/>
      <c r="F5" s="178"/>
      <c r="G5" s="178"/>
      <c r="H5" s="178"/>
      <c r="I5" s="178"/>
      <c r="J5" s="178"/>
      <c r="K5" s="178"/>
      <c r="L5" s="178"/>
      <c r="M5" s="178"/>
      <c r="N5" s="178"/>
    </row>
    <row r="6" spans="1:23" s="4" customFormat="1" ht="20.25" customHeight="1" x14ac:dyDescent="0.2"/>
    <row r="7" spans="1:23" s="4" customFormat="1" ht="12" customHeight="1" x14ac:dyDescent="0.2">
      <c r="A7" s="172" t="s">
        <v>156</v>
      </c>
      <c r="B7" s="172"/>
      <c r="D7" s="172" t="s">
        <v>157</v>
      </c>
      <c r="E7" s="172"/>
      <c r="G7" s="172" t="s">
        <v>158</v>
      </c>
      <c r="H7" s="172"/>
      <c r="I7" s="172"/>
      <c r="J7" s="172"/>
      <c r="K7" s="172"/>
      <c r="M7" s="172" t="s">
        <v>159</v>
      </c>
      <c r="N7" s="172"/>
    </row>
    <row r="8" spans="1:23" s="4" customFormat="1" ht="17.25" customHeight="1" x14ac:dyDescent="0.2">
      <c r="A8" s="82" t="s">
        <v>160</v>
      </c>
      <c r="B8" s="83" t="s">
        <v>161</v>
      </c>
      <c r="D8" s="82" t="s">
        <v>162</v>
      </c>
      <c r="E8" s="83" t="s">
        <v>161</v>
      </c>
      <c r="G8" s="82" t="s">
        <v>163</v>
      </c>
      <c r="H8" s="82" t="s">
        <v>164</v>
      </c>
      <c r="I8" s="82" t="s">
        <v>113</v>
      </c>
      <c r="J8" s="83" t="s">
        <v>165</v>
      </c>
      <c r="K8" s="83" t="s">
        <v>166</v>
      </c>
      <c r="M8" s="83" t="s">
        <v>167</v>
      </c>
      <c r="N8" s="83" t="s">
        <v>168</v>
      </c>
    </row>
    <row r="9" spans="1:23" s="4" customFormat="1" ht="12" x14ac:dyDescent="0.2">
      <c r="A9" s="80" t="s">
        <v>287</v>
      </c>
      <c r="B9" s="81" t="s">
        <v>164</v>
      </c>
      <c r="D9" s="80" t="s">
        <v>283</v>
      </c>
      <c r="E9" s="81" t="s">
        <v>164</v>
      </c>
      <c r="G9" s="82" t="s">
        <v>169</v>
      </c>
      <c r="H9" s="80">
        <v>6</v>
      </c>
      <c r="I9" s="80">
        <v>0</v>
      </c>
      <c r="J9" s="80">
        <v>0</v>
      </c>
      <c r="K9" s="83">
        <f>(H9*4)+(I9*6)+(J9*8)</f>
        <v>24</v>
      </c>
      <c r="M9" s="84" t="s">
        <v>170</v>
      </c>
      <c r="N9" s="85">
        <v>2</v>
      </c>
    </row>
    <row r="10" spans="1:23" s="4" customFormat="1" ht="12" x14ac:dyDescent="0.2">
      <c r="A10" s="126" t="s">
        <v>88</v>
      </c>
      <c r="B10" s="81" t="s">
        <v>164</v>
      </c>
      <c r="D10" s="80" t="s">
        <v>171</v>
      </c>
      <c r="E10" s="81" t="s">
        <v>164</v>
      </c>
      <c r="G10" s="82" t="s">
        <v>172</v>
      </c>
      <c r="H10" s="80">
        <v>0</v>
      </c>
      <c r="I10" s="80">
        <v>0</v>
      </c>
      <c r="J10" s="80">
        <v>0</v>
      </c>
      <c r="K10" s="83">
        <f>(H10*3)+(I10*4)+(J10*6)</f>
        <v>0</v>
      </c>
      <c r="M10" s="84" t="s">
        <v>173</v>
      </c>
      <c r="N10" s="85">
        <v>0</v>
      </c>
    </row>
    <row r="11" spans="1:23" s="4" customFormat="1" ht="12" customHeight="1" x14ac:dyDescent="0.2">
      <c r="A11" s="80" t="s">
        <v>174</v>
      </c>
      <c r="B11" s="81" t="s">
        <v>164</v>
      </c>
      <c r="D11" s="80" t="s">
        <v>175</v>
      </c>
      <c r="E11" s="81" t="s">
        <v>164</v>
      </c>
      <c r="G11" s="172" t="s">
        <v>176</v>
      </c>
      <c r="H11" s="172"/>
      <c r="I11" s="172"/>
      <c r="J11" s="172"/>
      <c r="K11" s="172"/>
      <c r="M11" s="84" t="s">
        <v>177</v>
      </c>
      <c r="N11" s="85">
        <v>2</v>
      </c>
    </row>
    <row r="12" spans="1:23" s="4" customFormat="1" ht="12" x14ac:dyDescent="0.2">
      <c r="A12" s="80" t="s">
        <v>281</v>
      </c>
      <c r="B12" s="81" t="s">
        <v>164</v>
      </c>
      <c r="D12" s="80" t="s">
        <v>35</v>
      </c>
      <c r="E12" s="81" t="s">
        <v>164</v>
      </c>
      <c r="G12" s="82" t="s">
        <v>163</v>
      </c>
      <c r="H12" s="82" t="s">
        <v>164</v>
      </c>
      <c r="I12" s="82" t="s">
        <v>113</v>
      </c>
      <c r="J12" s="83" t="s">
        <v>165</v>
      </c>
      <c r="K12" s="83" t="s">
        <v>166</v>
      </c>
      <c r="M12" s="84" t="s">
        <v>178</v>
      </c>
      <c r="N12" s="85">
        <v>1</v>
      </c>
    </row>
    <row r="13" spans="1:23" s="4" customFormat="1" ht="12" x14ac:dyDescent="0.2">
      <c r="A13" s="80" t="s">
        <v>243</v>
      </c>
      <c r="B13" s="81" t="s">
        <v>164</v>
      </c>
      <c r="D13" s="80" t="s">
        <v>288</v>
      </c>
      <c r="E13" s="81" t="s">
        <v>164</v>
      </c>
      <c r="G13" s="82" t="s">
        <v>179</v>
      </c>
      <c r="H13" s="80">
        <v>8</v>
      </c>
      <c r="I13" s="80">
        <v>0</v>
      </c>
      <c r="J13" s="80">
        <v>0</v>
      </c>
      <c r="K13" s="83">
        <f>(H13*3)+(I13*4)+(J13*6)</f>
        <v>24</v>
      </c>
      <c r="M13" s="84" t="s">
        <v>180</v>
      </c>
      <c r="N13" s="85">
        <v>2</v>
      </c>
      <c r="W13" s="4" t="s">
        <v>181</v>
      </c>
    </row>
    <row r="14" spans="1:23" s="4" customFormat="1" ht="12" x14ac:dyDescent="0.2">
      <c r="A14" s="80" t="s">
        <v>282</v>
      </c>
      <c r="B14" s="81" t="s">
        <v>164</v>
      </c>
      <c r="D14" s="80" t="s">
        <v>184</v>
      </c>
      <c r="E14" s="81" t="s">
        <v>164</v>
      </c>
      <c r="G14" s="82" t="s">
        <v>182</v>
      </c>
      <c r="H14" s="80">
        <v>1</v>
      </c>
      <c r="I14" s="80">
        <v>0</v>
      </c>
      <c r="J14" s="80">
        <v>0</v>
      </c>
      <c r="K14" s="83">
        <f>(H14*4)+(I14*5)+(J14*7)</f>
        <v>4</v>
      </c>
      <c r="M14" s="84" t="s">
        <v>183</v>
      </c>
      <c r="N14" s="85">
        <v>4</v>
      </c>
    </row>
    <row r="15" spans="1:23" s="4" customFormat="1" ht="12" x14ac:dyDescent="0.2">
      <c r="A15" s="80"/>
      <c r="B15" s="81"/>
      <c r="D15" s="80" t="s">
        <v>187</v>
      </c>
      <c r="E15" s="81" t="s">
        <v>164</v>
      </c>
      <c r="G15" s="82" t="s">
        <v>185</v>
      </c>
      <c r="H15" s="80">
        <v>2</v>
      </c>
      <c r="I15" s="80">
        <v>0</v>
      </c>
      <c r="J15" s="80">
        <v>0</v>
      </c>
      <c r="K15" s="83">
        <f>(H15*3)+(I15*4)+(J15*6)</f>
        <v>6</v>
      </c>
      <c r="M15" s="84" t="s">
        <v>186</v>
      </c>
      <c r="N15" s="85">
        <v>4</v>
      </c>
    </row>
    <row r="16" spans="1:23" s="4" customFormat="1" ht="12" customHeight="1" x14ac:dyDescent="0.2">
      <c r="A16" s="80"/>
      <c r="B16" s="81"/>
      <c r="D16" s="80" t="s">
        <v>190</v>
      </c>
      <c r="E16" s="81" t="s">
        <v>164</v>
      </c>
      <c r="G16" s="173" t="s">
        <v>188</v>
      </c>
      <c r="H16" s="173"/>
      <c r="I16" s="173"/>
      <c r="J16" s="173"/>
      <c r="K16" s="86">
        <f>SUM(K9,K10,K13,K14,K15)</f>
        <v>58</v>
      </c>
      <c r="M16" s="84" t="s">
        <v>189</v>
      </c>
      <c r="N16" s="85">
        <v>4</v>
      </c>
    </row>
    <row r="17" spans="1:14" s="4" customFormat="1" ht="12" x14ac:dyDescent="0.2">
      <c r="A17" s="80"/>
      <c r="B17" s="81"/>
      <c r="D17" s="80" t="s">
        <v>284</v>
      </c>
      <c r="E17" s="81" t="s">
        <v>164</v>
      </c>
      <c r="M17" s="84" t="s">
        <v>191</v>
      </c>
      <c r="N17" s="85">
        <v>2</v>
      </c>
    </row>
    <row r="18" spans="1:14" s="4" customFormat="1" ht="12" x14ac:dyDescent="0.2">
      <c r="A18" s="80"/>
      <c r="B18" s="81"/>
      <c r="D18" s="182" t="s">
        <v>285</v>
      </c>
      <c r="E18" s="81" t="s">
        <v>164</v>
      </c>
      <c r="M18" s="84" t="s">
        <v>192</v>
      </c>
      <c r="N18" s="85">
        <v>2</v>
      </c>
    </row>
    <row r="19" spans="1:14" s="4" customFormat="1" ht="12" x14ac:dyDescent="0.2">
      <c r="A19" s="80"/>
      <c r="B19" s="81"/>
      <c r="D19" s="80" t="s">
        <v>286</v>
      </c>
      <c r="E19" s="81" t="s">
        <v>164</v>
      </c>
      <c r="M19" s="84" t="s">
        <v>193</v>
      </c>
      <c r="N19" s="85">
        <v>3</v>
      </c>
    </row>
    <row r="20" spans="1:14" s="4" customFormat="1" ht="12" x14ac:dyDescent="0.2">
      <c r="A20" s="80"/>
      <c r="B20" s="81"/>
      <c r="D20" s="80"/>
      <c r="E20" s="81"/>
      <c r="M20" s="84" t="s">
        <v>194</v>
      </c>
      <c r="N20" s="85">
        <v>3</v>
      </c>
    </row>
    <row r="21" spans="1:14" s="4" customFormat="1" ht="12" x14ac:dyDescent="0.2">
      <c r="M21" s="84" t="s">
        <v>195</v>
      </c>
      <c r="N21" s="85">
        <v>3</v>
      </c>
    </row>
    <row r="22" spans="1:14" s="4" customFormat="1" ht="12" x14ac:dyDescent="0.2">
      <c r="M22" s="84" t="s">
        <v>196</v>
      </c>
      <c r="N22" s="85">
        <v>3</v>
      </c>
    </row>
    <row r="23" spans="1:14" s="4" customFormat="1" ht="12" x14ac:dyDescent="0.2">
      <c r="M23" s="87" t="s">
        <v>197</v>
      </c>
      <c r="N23" s="88">
        <f>SUM(N9:N22)</f>
        <v>35</v>
      </c>
    </row>
    <row r="24" spans="1:14" x14ac:dyDescent="0.25">
      <c r="M24" s="87" t="s">
        <v>198</v>
      </c>
      <c r="N24" s="86">
        <f>(N23*0.01)+0.65</f>
        <v>1</v>
      </c>
    </row>
    <row r="25" spans="1:14" x14ac:dyDescent="0.25">
      <c r="M25" s="87" t="s">
        <v>199</v>
      </c>
      <c r="N25" s="89">
        <f>K16*N24</f>
        <v>58</v>
      </c>
    </row>
    <row r="26" spans="1:14" x14ac:dyDescent="0.25">
      <c r="M26" s="87" t="s">
        <v>200</v>
      </c>
      <c r="N26" s="90">
        <v>19</v>
      </c>
    </row>
    <row r="27" spans="1:14" ht="21" x14ac:dyDescent="0.25">
      <c r="M27" s="91" t="s">
        <v>201</v>
      </c>
      <c r="N27" s="92">
        <f>N25*N26</f>
        <v>1102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E9:E20 B9:B14 B16:B20" xr:uid="{00000000-0002-0000-0500-000000000000}">
      <formula1>"Simples,Média,Complexa"</formula1>
    </dataValidation>
    <dataValidation type="list" allowBlank="1" showInputMessage="1" showErrorMessage="1" sqref="N9:N22" xr:uid="{00000000-0002-0000-0500-00000100000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29"/>
  <sheetViews>
    <sheetView tabSelected="1" zoomScale="85" zoomScaleNormal="85" workbookViewId="0">
      <selection activeCell="J24" sqref="J24"/>
    </sheetView>
  </sheetViews>
  <sheetFormatPr defaultRowHeight="15" x14ac:dyDescent="0.25"/>
  <cols>
    <col min="1" max="1" width="45.5" style="1" customWidth="1"/>
    <col min="2" max="2" width="12.625" style="23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74" t="s">
        <v>57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1:14" ht="7.5" customHeight="1" x14ac:dyDescent="0.25"/>
    <row r="3" spans="1:14" ht="18.75" x14ac:dyDescent="0.3">
      <c r="A3" s="180" t="s">
        <v>58</v>
      </c>
      <c r="B3" s="180"/>
      <c r="C3" s="180"/>
      <c r="E3" s="180" t="s">
        <v>202</v>
      </c>
      <c r="F3" s="180"/>
      <c r="G3" s="180"/>
      <c r="H3" s="180"/>
      <c r="I3" s="180"/>
      <c r="J3" s="180"/>
      <c r="K3" s="180"/>
      <c r="L3" s="180"/>
      <c r="M3" s="180"/>
      <c r="N3" s="180"/>
    </row>
    <row r="4" spans="1:14" x14ac:dyDescent="0.25">
      <c r="A4" s="93" t="s">
        <v>203</v>
      </c>
      <c r="B4" s="94">
        <f>'#Estimativa-APF#'!$N$27</f>
        <v>1102</v>
      </c>
      <c r="C4" s="28" t="s">
        <v>60</v>
      </c>
      <c r="E4" s="181" t="s">
        <v>204</v>
      </c>
      <c r="F4" s="179" t="s">
        <v>23</v>
      </c>
      <c r="G4" s="179"/>
      <c r="H4" s="179" t="s">
        <v>40</v>
      </c>
      <c r="I4" s="179"/>
      <c r="J4" s="179" t="s">
        <v>48</v>
      </c>
      <c r="K4" s="179"/>
      <c r="L4" s="179" t="s">
        <v>49</v>
      </c>
      <c r="M4" s="179"/>
      <c r="N4" s="95"/>
    </row>
    <row r="5" spans="1:14" ht="18.75" x14ac:dyDescent="0.3">
      <c r="A5" s="26" t="s">
        <v>61</v>
      </c>
      <c r="B5" s="27">
        <v>0</v>
      </c>
      <c r="C5" s="36" t="s">
        <v>205</v>
      </c>
      <c r="E5" s="181"/>
      <c r="F5" s="179" t="s">
        <v>24</v>
      </c>
      <c r="G5" s="179"/>
      <c r="H5" s="179" t="s">
        <v>24</v>
      </c>
      <c r="I5" s="179"/>
      <c r="J5" s="179" t="s">
        <v>24</v>
      </c>
      <c r="K5" s="179"/>
      <c r="L5" s="179" t="s">
        <v>24</v>
      </c>
      <c r="M5" s="179"/>
      <c r="N5" s="39" t="s">
        <v>206</v>
      </c>
    </row>
    <row r="6" spans="1:14" x14ac:dyDescent="0.25">
      <c r="A6" s="96" t="s">
        <v>207</v>
      </c>
      <c r="B6" s="97">
        <f>B4+(B4*B5)</f>
        <v>1102</v>
      </c>
      <c r="C6" s="36" t="s">
        <v>60</v>
      </c>
      <c r="E6" s="181"/>
      <c r="F6" s="98">
        <f>B6*G6</f>
        <v>55.1</v>
      </c>
      <c r="G6" s="99">
        <v>0.05</v>
      </c>
      <c r="H6" s="98">
        <f>B4*I6</f>
        <v>220.4</v>
      </c>
      <c r="I6" s="99">
        <v>0.2</v>
      </c>
      <c r="J6" s="98">
        <f>B4*K6</f>
        <v>716.30000000000007</v>
      </c>
      <c r="K6" s="99">
        <v>0.65</v>
      </c>
      <c r="L6" s="98">
        <f>B4*M6</f>
        <v>110.2</v>
      </c>
      <c r="M6" s="99">
        <v>0.1</v>
      </c>
      <c r="N6" s="98"/>
    </row>
    <row r="7" spans="1:14" ht="15.75" x14ac:dyDescent="0.25">
      <c r="A7" s="28" t="s">
        <v>208</v>
      </c>
      <c r="B7" s="29">
        <v>3</v>
      </c>
      <c r="C7" s="28"/>
      <c r="E7" s="100" t="s">
        <v>209</v>
      </c>
      <c r="F7" s="98">
        <f>F6*G7</f>
        <v>30.305000000000003</v>
      </c>
      <c r="G7" s="99">
        <v>0.55000000000000004</v>
      </c>
      <c r="H7" s="98">
        <f>H6*I7</f>
        <v>66.12</v>
      </c>
      <c r="I7" s="99">
        <v>0.3</v>
      </c>
      <c r="J7" s="98">
        <f>J6*K7</f>
        <v>85.956000000000003</v>
      </c>
      <c r="K7" s="99">
        <v>0.12</v>
      </c>
      <c r="L7" s="98">
        <f>L6*M7</f>
        <v>5.5100000000000007</v>
      </c>
      <c r="M7" s="99">
        <v>0.05</v>
      </c>
      <c r="N7" s="101">
        <f>SUM(F7,H7,J7,L7)</f>
        <v>187.89100000000002</v>
      </c>
    </row>
    <row r="8" spans="1:14" ht="15.75" x14ac:dyDescent="0.25">
      <c r="A8" s="28" t="s">
        <v>210</v>
      </c>
      <c r="B8" s="29">
        <v>12.5</v>
      </c>
      <c r="C8" s="28" t="s">
        <v>211</v>
      </c>
      <c r="E8" s="100" t="s">
        <v>212</v>
      </c>
      <c r="F8" s="98">
        <f>F6*G8</f>
        <v>8.2650000000000006</v>
      </c>
      <c r="G8" s="99">
        <v>0.15</v>
      </c>
      <c r="H8" s="98">
        <f>H6*I8</f>
        <v>44.080000000000005</v>
      </c>
      <c r="I8" s="99">
        <v>0.2</v>
      </c>
      <c r="J8" s="98">
        <f>J6*K8</f>
        <v>71.63000000000001</v>
      </c>
      <c r="K8" s="99">
        <v>0.1</v>
      </c>
      <c r="L8" s="98">
        <f>L6*M8</f>
        <v>5.5100000000000007</v>
      </c>
      <c r="M8" s="99">
        <v>0.05</v>
      </c>
      <c r="N8" s="101">
        <f>SUM(F8,H8,J8,L8)</f>
        <v>129.48500000000001</v>
      </c>
    </row>
    <row r="9" spans="1:14" ht="15.75" x14ac:dyDescent="0.25">
      <c r="A9" s="28" t="s">
        <v>213</v>
      </c>
      <c r="B9" s="29">
        <v>2</v>
      </c>
      <c r="C9" s="28" t="s">
        <v>71</v>
      </c>
      <c r="E9" s="100" t="s">
        <v>214</v>
      </c>
      <c r="F9" s="98">
        <f>F6*G9</f>
        <v>1.1020000000000001</v>
      </c>
      <c r="G9" s="99">
        <v>0.02</v>
      </c>
      <c r="H9" s="98">
        <f>H6*I9</f>
        <v>44.080000000000005</v>
      </c>
      <c r="I9" s="99">
        <v>0.2</v>
      </c>
      <c r="J9" s="98">
        <f>J6*K9</f>
        <v>286.52000000000004</v>
      </c>
      <c r="K9" s="99">
        <v>0.4</v>
      </c>
      <c r="L9" s="98">
        <f>L6*M9</f>
        <v>16.53</v>
      </c>
      <c r="M9" s="99">
        <v>0.15</v>
      </c>
      <c r="N9" s="101">
        <f>SUM(F9,H9,J9,L9)</f>
        <v>348.23200000000008</v>
      </c>
    </row>
    <row r="10" spans="1:14" ht="15.75" x14ac:dyDescent="0.25">
      <c r="A10" s="102" t="s">
        <v>215</v>
      </c>
      <c r="B10" s="103">
        <f>(B7*B8)*B9</f>
        <v>75</v>
      </c>
      <c r="C10" s="102" t="s">
        <v>60</v>
      </c>
      <c r="E10" s="100" t="s">
        <v>216</v>
      </c>
      <c r="F10" s="98">
        <f>F6*G10</f>
        <v>2.7550000000000003</v>
      </c>
      <c r="G10" s="99">
        <v>0.05</v>
      </c>
      <c r="H10" s="98">
        <f>H6*I10</f>
        <v>17.632000000000001</v>
      </c>
      <c r="I10" s="99">
        <v>0.08</v>
      </c>
      <c r="J10" s="98">
        <f>J6*K10</f>
        <v>71.63000000000001</v>
      </c>
      <c r="K10" s="99">
        <v>0.1</v>
      </c>
      <c r="L10" s="98">
        <f>L6*M10</f>
        <v>11.020000000000001</v>
      </c>
      <c r="M10" s="99">
        <v>0.1</v>
      </c>
      <c r="N10" s="101">
        <f>SUM(F10,H10,J10,L10)</f>
        <v>103.03700000000001</v>
      </c>
    </row>
    <row r="11" spans="1:14" ht="15.75" x14ac:dyDescent="0.25">
      <c r="A11" s="93" t="s">
        <v>217</v>
      </c>
      <c r="B11" s="104">
        <f>B6/B10*2</f>
        <v>29.386666666666667</v>
      </c>
      <c r="C11" s="93" t="s">
        <v>71</v>
      </c>
      <c r="E11" s="100" t="s">
        <v>218</v>
      </c>
      <c r="F11" s="98">
        <f>F6*G11</f>
        <v>0</v>
      </c>
      <c r="G11" s="99">
        <v>0</v>
      </c>
      <c r="H11" s="98">
        <f>H6*I11</f>
        <v>4.4080000000000004</v>
      </c>
      <c r="I11" s="99">
        <v>0.02</v>
      </c>
      <c r="J11" s="98">
        <f>J6*K11</f>
        <v>35.815000000000005</v>
      </c>
      <c r="K11" s="99">
        <v>0.05</v>
      </c>
      <c r="L11" s="98">
        <f>L6*M11</f>
        <v>11.020000000000001</v>
      </c>
      <c r="M11" s="99">
        <v>0.1</v>
      </c>
      <c r="N11" s="101">
        <f>SUM(F11,H11,J11,L11)</f>
        <v>51.243000000000009</v>
      </c>
    </row>
    <row r="12" spans="1:14" x14ac:dyDescent="0.25">
      <c r="A12" s="93" t="s">
        <v>219</v>
      </c>
      <c r="B12" s="104">
        <f>B11/4</f>
        <v>7.3466666666666667</v>
      </c>
      <c r="C12" s="93" t="s">
        <v>73</v>
      </c>
      <c r="E12" s="105" t="s">
        <v>220</v>
      </c>
      <c r="F12" s="106">
        <f t="shared" ref="F12:M12" si="0">SUM(F7:F11)</f>
        <v>42.427000000000007</v>
      </c>
      <c r="G12" s="107">
        <f t="shared" si="0"/>
        <v>0.77000000000000013</v>
      </c>
      <c r="H12" s="106">
        <f t="shared" si="0"/>
        <v>176.32000000000002</v>
      </c>
      <c r="I12" s="107">
        <f t="shared" si="0"/>
        <v>0.79999999999999993</v>
      </c>
      <c r="J12" s="106">
        <f t="shared" si="0"/>
        <v>551.55100000000016</v>
      </c>
      <c r="K12" s="107">
        <f t="shared" si="0"/>
        <v>0.77</v>
      </c>
      <c r="L12" s="106">
        <f t="shared" si="0"/>
        <v>49.590000000000011</v>
      </c>
      <c r="M12" s="107">
        <f t="shared" si="0"/>
        <v>0.44999999999999996</v>
      </c>
      <c r="N12" s="105"/>
    </row>
    <row r="13" spans="1:14" ht="15.75" x14ac:dyDescent="0.25">
      <c r="A13" s="102" t="s">
        <v>221</v>
      </c>
      <c r="B13" s="108">
        <f>B11/B9</f>
        <v>14.693333333333333</v>
      </c>
      <c r="C13" s="102" t="s">
        <v>222</v>
      </c>
      <c r="E13" s="100" t="s">
        <v>223</v>
      </c>
      <c r="F13" s="98">
        <f>F6*G13</f>
        <v>1.653</v>
      </c>
      <c r="G13" s="99">
        <v>0.03</v>
      </c>
      <c r="H13" s="98">
        <f>H6*I13</f>
        <v>17.632000000000001</v>
      </c>
      <c r="I13" s="99">
        <v>0.08</v>
      </c>
      <c r="J13" s="98">
        <f>J6*K13</f>
        <v>93.119000000000014</v>
      </c>
      <c r="K13" s="99">
        <v>0.13</v>
      </c>
      <c r="L13" s="98">
        <f>L6*M13</f>
        <v>33.06</v>
      </c>
      <c r="M13" s="99">
        <v>0.3</v>
      </c>
      <c r="N13" s="101">
        <f>SUM(F13,H13,J13,L13)</f>
        <v>145.464</v>
      </c>
    </row>
    <row r="14" spans="1:14" ht="15.75" x14ac:dyDescent="0.25">
      <c r="E14" s="100" t="s">
        <v>224</v>
      </c>
      <c r="F14" s="98">
        <f>F6*G14</f>
        <v>11.020000000000001</v>
      </c>
      <c r="G14" s="99">
        <v>0.2</v>
      </c>
      <c r="H14" s="98">
        <f>H6*I14</f>
        <v>26.448</v>
      </c>
      <c r="I14" s="99">
        <v>0.12</v>
      </c>
      <c r="J14" s="98">
        <f>J6*K14</f>
        <v>71.63000000000001</v>
      </c>
      <c r="K14" s="99">
        <v>0.1</v>
      </c>
      <c r="L14" s="98">
        <f>L6*M14</f>
        <v>27.55</v>
      </c>
      <c r="M14" s="99">
        <v>0.25</v>
      </c>
      <c r="N14" s="101">
        <f>SUM(F14,H14,J14,L14)</f>
        <v>136.64800000000002</v>
      </c>
    </row>
    <row r="15" spans="1:14" x14ac:dyDescent="0.25">
      <c r="E15" s="105" t="s">
        <v>225</v>
      </c>
      <c r="F15" s="106">
        <f t="shared" ref="F15:M15" si="1">SUM(F13:F14)</f>
        <v>12.673000000000002</v>
      </c>
      <c r="G15" s="107">
        <f t="shared" si="1"/>
        <v>0.23</v>
      </c>
      <c r="H15" s="106">
        <f>SUM(H13:H14)</f>
        <v>44.08</v>
      </c>
      <c r="I15" s="107">
        <f t="shared" si="1"/>
        <v>0.2</v>
      </c>
      <c r="J15" s="106">
        <f t="shared" si="1"/>
        <v>164.74900000000002</v>
      </c>
      <c r="K15" s="107">
        <f t="shared" si="1"/>
        <v>0.23</v>
      </c>
      <c r="L15" s="106">
        <f t="shared" si="1"/>
        <v>60.61</v>
      </c>
      <c r="M15" s="107">
        <f t="shared" si="1"/>
        <v>0.55000000000000004</v>
      </c>
      <c r="N15" s="105"/>
    </row>
    <row r="16" spans="1:14" ht="18.75" x14ac:dyDescent="0.3">
      <c r="A16" s="180" t="s">
        <v>74</v>
      </c>
      <c r="B16" s="180"/>
      <c r="C16" s="180"/>
      <c r="E16" s="39" t="s">
        <v>226</v>
      </c>
      <c r="F16" s="109">
        <f t="shared" ref="F16:M16" si="2">F12+F15</f>
        <v>55.100000000000009</v>
      </c>
      <c r="G16" s="110">
        <f t="shared" si="2"/>
        <v>1.0000000000000002</v>
      </c>
      <c r="H16" s="109">
        <f t="shared" si="2"/>
        <v>220.40000000000003</v>
      </c>
      <c r="I16" s="110">
        <f t="shared" si="2"/>
        <v>1</v>
      </c>
      <c r="J16" s="109">
        <f t="shared" si="2"/>
        <v>716.30000000000018</v>
      </c>
      <c r="K16" s="110">
        <f t="shared" si="2"/>
        <v>1</v>
      </c>
      <c r="L16" s="109">
        <f t="shared" si="2"/>
        <v>110.20000000000002</v>
      </c>
      <c r="M16" s="110">
        <f t="shared" si="2"/>
        <v>1</v>
      </c>
      <c r="N16" s="111">
        <f>SUM(N7:N11,N13,N14)</f>
        <v>1102.0000000000005</v>
      </c>
    </row>
    <row r="17" spans="1:14" x14ac:dyDescent="0.25">
      <c r="A17" s="28" t="s">
        <v>75</v>
      </c>
      <c r="B17" s="112">
        <v>50</v>
      </c>
      <c r="C17" s="36"/>
      <c r="N17" s="56"/>
    </row>
    <row r="18" spans="1:14" x14ac:dyDescent="0.25">
      <c r="A18" s="28" t="s">
        <v>76</v>
      </c>
      <c r="B18" s="37">
        <f>B6*B17</f>
        <v>55100</v>
      </c>
      <c r="C18" s="36"/>
      <c r="L18" s="56"/>
      <c r="N18" s="56"/>
    </row>
    <row r="19" spans="1:14" x14ac:dyDescent="0.25">
      <c r="A19" s="28" t="s">
        <v>77</v>
      </c>
      <c r="B19" s="27">
        <v>0.2</v>
      </c>
      <c r="C19" s="36"/>
      <c r="N19" s="56"/>
    </row>
    <row r="20" spans="1:14" x14ac:dyDescent="0.25">
      <c r="A20" s="28" t="s">
        <v>78</v>
      </c>
      <c r="B20" s="38">
        <f>B18*B19</f>
        <v>11020</v>
      </c>
      <c r="C20" s="36"/>
      <c r="L20" s="56"/>
      <c r="N20" s="56"/>
    </row>
    <row r="21" spans="1:14" ht="15.75" x14ac:dyDescent="0.25">
      <c r="A21" s="24" t="s">
        <v>227</v>
      </c>
      <c r="B21" s="113">
        <f>B18+B20</f>
        <v>66120</v>
      </c>
      <c r="C21" s="36"/>
      <c r="N21" s="56"/>
    </row>
    <row r="22" spans="1:14" x14ac:dyDescent="0.25">
      <c r="A22" s="28" t="s">
        <v>80</v>
      </c>
      <c r="B22" s="27">
        <v>0.2</v>
      </c>
      <c r="C22" s="36"/>
      <c r="J22" s="56"/>
    </row>
    <row r="23" spans="1:14" x14ac:dyDescent="0.25">
      <c r="A23" s="28" t="s">
        <v>81</v>
      </c>
      <c r="B23" s="41">
        <f>B21*B22</f>
        <v>13224</v>
      </c>
      <c r="C23" s="36"/>
    </row>
    <row r="24" spans="1:14" ht="15.75" x14ac:dyDescent="0.25">
      <c r="A24" s="24" t="s">
        <v>228</v>
      </c>
      <c r="B24" s="113">
        <f>B21+B23</f>
        <v>79344</v>
      </c>
      <c r="C24" s="36"/>
    </row>
    <row r="26" spans="1:14" x14ac:dyDescent="0.25">
      <c r="J26" s="56"/>
    </row>
    <row r="27" spans="1:14" x14ac:dyDescent="0.25">
      <c r="J27" s="56"/>
    </row>
    <row r="28" spans="1:14" x14ac:dyDescent="0.25">
      <c r="N28" s="56"/>
    </row>
    <row r="29" spans="1:14" x14ac:dyDescent="0.25">
      <c r="N29" s="56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aluno</dc:creator>
  <cp:keywords/>
  <dc:description/>
  <cp:lastModifiedBy>Andréia Mayumi</cp:lastModifiedBy>
  <cp:revision>8</cp:revision>
  <dcterms:created xsi:type="dcterms:W3CDTF">2025-06-04T07:35:10Z</dcterms:created>
  <dcterms:modified xsi:type="dcterms:W3CDTF">2026-10-06T02:57:44Z</dcterms:modified>
  <cp:category/>
  <cp:contentStatus/>
</cp:coreProperties>
</file>